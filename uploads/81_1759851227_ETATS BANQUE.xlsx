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29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ED6BD00D-8366-40B0-B088-542EE53CABF0}" xr6:coauthVersionLast="43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Virement Aout 25 " sheetId="6" r:id="rId1"/>
    <sheet name="Virement Aout 25 ok" sheetId="7" r:id="rId2"/>
  </sheets>
  <externalReferences>
    <externalReference r:id="rId3"/>
    <externalReference r:id="rId4"/>
  </externalReferences>
  <definedNames>
    <definedName name="_xlnm._FilterDatabase" localSheetId="0" hidden="1">'Virement Aout 25 '!$B$2:$G$271</definedName>
    <definedName name="_xlnm._FilterDatabase" localSheetId="1" hidden="1">'Virement Aout 25 ok'!$B$2:$G$15</definedName>
    <definedName name="_xlnm.Print_Area" localSheetId="0">'Virement Aout 25 '!$B$1:$E$96</definedName>
    <definedName name="_xlnm.Print_Area" localSheetId="1">'Virement Aout 25 ok'!$B$1:$E$5</definedName>
  </definedNames>
  <calcPr calcId="191029" calcMode="autoNoTabl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G16" i="7" l="1"/>
  <c r="J20" i="7" l="1"/>
  <c r="G22" i="6" l="1"/>
  <c r="G85" i="6"/>
  <c r="G92" i="6"/>
  <c r="G96" i="6"/>
  <c r="G108" i="6"/>
  <c r="G110" i="6"/>
  <c r="G111" i="6"/>
  <c r="G128" i="6"/>
  <c r="G139" i="6"/>
  <c r="G141" i="6"/>
  <c r="G169" i="6"/>
  <c r="G170" i="6"/>
  <c r="G173" i="6"/>
  <c r="G176" i="6"/>
  <c r="G177" i="6"/>
  <c r="G178" i="6"/>
  <c r="G193" i="6"/>
  <c r="G194" i="6"/>
  <c r="G217" i="6"/>
  <c r="G226" i="6"/>
  <c r="G247" i="6"/>
  <c r="G289" i="6"/>
  <c r="G299" i="6"/>
  <c r="G301" i="6"/>
  <c r="G283" i="6" l="1"/>
  <c r="G14" i="6" l="1"/>
  <c r="G59" i="6" l="1"/>
  <c r="G300" i="6" l="1"/>
  <c r="G297" i="6"/>
  <c r="G298" i="6" l="1"/>
  <c r="G296" i="6" l="1"/>
  <c r="G292" i="6" l="1"/>
  <c r="G286" i="6"/>
  <c r="G285" i="6" l="1"/>
  <c r="G290" i="6" l="1"/>
  <c r="G287" i="6"/>
  <c r="G302" i="6"/>
  <c r="G281" i="6"/>
  <c r="G278" i="6" l="1"/>
  <c r="G288" i="6" l="1"/>
  <c r="G107" i="6" l="1"/>
  <c r="G82" i="6"/>
  <c r="G122" i="6" l="1"/>
  <c r="G8" i="6"/>
  <c r="G19" i="6"/>
  <c r="G267" i="6"/>
  <c r="G189" i="6"/>
  <c r="G231" i="6"/>
  <c r="G171" i="6"/>
  <c r="G234" i="6"/>
  <c r="G142" i="6"/>
  <c r="G113" i="6"/>
  <c r="G156" i="6"/>
  <c r="G284" i="6"/>
  <c r="G54" i="6"/>
  <c r="G230" i="6"/>
  <c r="G17" i="6"/>
  <c r="G268" i="6"/>
  <c r="G208" i="6"/>
  <c r="G105" i="6"/>
  <c r="G158" i="6"/>
  <c r="G132" i="6"/>
  <c r="G261" i="6"/>
  <c r="G56" i="6"/>
  <c r="G13" i="6"/>
  <c r="G83" i="6"/>
  <c r="G112" i="6"/>
  <c r="G224" i="6"/>
  <c r="G250" i="6"/>
  <c r="G211" i="6"/>
  <c r="G129" i="6"/>
  <c r="G109" i="6"/>
  <c r="G33" i="6"/>
  <c r="G253" i="6"/>
  <c r="G138" i="6"/>
  <c r="G157" i="6"/>
  <c r="G183" i="6"/>
  <c r="G248" i="6"/>
  <c r="G235" i="6"/>
  <c r="G282" i="6"/>
  <c r="G215" i="6"/>
  <c r="G162" i="6"/>
  <c r="G101" i="6"/>
  <c r="G42" i="6"/>
  <c r="G269" i="6"/>
  <c r="G251" i="6"/>
  <c r="G91" i="6"/>
  <c r="G140" i="6"/>
  <c r="G184" i="6"/>
  <c r="G238" i="6"/>
  <c r="G258" i="6"/>
  <c r="G274" i="6"/>
  <c r="G84" i="6"/>
  <c r="G236" i="6"/>
  <c r="G66" i="6"/>
  <c r="G98" i="6"/>
  <c r="G201" i="6"/>
  <c r="G64" i="6"/>
  <c r="G18" i="6"/>
  <c r="G97" i="6"/>
  <c r="G15" i="6"/>
  <c r="G273" i="6"/>
  <c r="G227" i="6"/>
  <c r="G10" i="6"/>
  <c r="G241" i="6"/>
  <c r="G246" i="6"/>
  <c r="G266" i="6"/>
  <c r="G219" i="6"/>
  <c r="G93" i="6"/>
  <c r="G32" i="6"/>
  <c r="G41" i="6"/>
  <c r="G161" i="6"/>
  <c r="G272" i="6"/>
  <c r="G48" i="6"/>
  <c r="G80" i="6"/>
  <c r="G135" i="6"/>
  <c r="G81" i="6"/>
  <c r="G77" i="6"/>
  <c r="G123" i="6"/>
  <c r="G35" i="6"/>
  <c r="G120" i="6"/>
  <c r="G95" i="6"/>
  <c r="G106" i="6"/>
  <c r="G43" i="6"/>
  <c r="G44" i="6"/>
  <c r="G262" i="6"/>
  <c r="G37" i="6"/>
  <c r="G257" i="6" l="1"/>
  <c r="G127" i="6"/>
  <c r="G228" i="6"/>
  <c r="G78" i="6"/>
  <c r="G3" i="6"/>
  <c r="G53" i="6"/>
  <c r="G87" i="6"/>
  <c r="G40" i="6"/>
  <c r="G63" i="6"/>
  <c r="G207" i="6"/>
  <c r="G90" i="6"/>
  <c r="G11" i="6"/>
  <c r="G39" i="6"/>
  <c r="G7" i="6"/>
  <c r="G131" i="6"/>
  <c r="G134" i="6"/>
  <c r="G115" i="6"/>
  <c r="G155" i="6"/>
  <c r="G280" i="6"/>
  <c r="G256" i="6"/>
  <c r="G172" i="6"/>
  <c r="G220" i="6"/>
  <c r="G244" i="6"/>
  <c r="G124" i="6"/>
  <c r="G121" i="6"/>
  <c r="G116" i="6"/>
  <c r="G52" i="6"/>
  <c r="G24" i="6"/>
  <c r="G190" i="6"/>
  <c r="G232" i="6"/>
  <c r="G203" i="6"/>
  <c r="G205" i="6"/>
  <c r="G192" i="6"/>
  <c r="G58" i="6"/>
  <c r="G245" i="6"/>
  <c r="G154" i="6"/>
  <c r="G136" i="6"/>
  <c r="G291" i="6"/>
  <c r="G133" i="6"/>
  <c r="G181" i="6"/>
  <c r="G182" i="6"/>
  <c r="G38" i="6"/>
  <c r="G212" i="6"/>
  <c r="G119" i="6"/>
  <c r="G293" i="6"/>
  <c r="G57" i="6"/>
  <c r="G160" i="6"/>
  <c r="G12" i="6"/>
  <c r="G102" i="6"/>
  <c r="G185" i="6"/>
  <c r="G89" i="6"/>
  <c r="G130" i="6"/>
  <c r="G202" i="6"/>
  <c r="G86" i="6"/>
  <c r="G216" i="6"/>
  <c r="G9" i="6"/>
  <c r="G148" i="6"/>
  <c r="G265" i="6"/>
  <c r="G20" i="6"/>
  <c r="G159" i="6"/>
  <c r="G60" i="6"/>
  <c r="G16" i="6"/>
  <c r="G271" i="6"/>
  <c r="G222" i="6"/>
  <c r="G100" i="6"/>
  <c r="G237" i="6"/>
  <c r="G186" i="6"/>
  <c r="G55" i="6"/>
  <c r="G187" i="6"/>
  <c r="G180" i="6"/>
  <c r="G152" i="6"/>
  <c r="G103" i="6"/>
  <c r="G76" i="6"/>
  <c r="G79" i="6"/>
  <c r="G73" i="6"/>
  <c r="G72" i="6"/>
  <c r="G151" i="6"/>
  <c r="G65" i="6"/>
  <c r="G46" i="6"/>
  <c r="G23" i="6"/>
  <c r="G294" i="6"/>
  <c r="G4" i="6"/>
  <c r="G74" i="6"/>
  <c r="G62" i="6"/>
  <c r="G50" i="6"/>
  <c r="G75" i="6"/>
  <c r="G21" i="6"/>
  <c r="G6" i="6"/>
  <c r="G270" i="6"/>
  <c r="G94" i="6"/>
  <c r="G31" i="6"/>
  <c r="G295" i="6"/>
  <c r="G51" i="6"/>
  <c r="G145" i="6"/>
  <c r="G71" i="6"/>
  <c r="G229" i="6"/>
  <c r="G49" i="6"/>
  <c r="G118" i="6"/>
  <c r="G88" i="6"/>
  <c r="G264" i="6"/>
  <c r="G5" i="6"/>
  <c r="G146" i="6"/>
  <c r="G61" i="6"/>
  <c r="G69" i="6"/>
  <c r="G70" i="6"/>
  <c r="G242" i="6"/>
  <c r="G45" i="6"/>
  <c r="G117" i="6"/>
  <c r="G68" i="6"/>
  <c r="G47" i="6" l="1"/>
  <c r="G137" i="6" l="1"/>
  <c r="G200" i="6"/>
  <c r="G25" i="6" l="1"/>
  <c r="G147" i="6"/>
  <c r="G163" i="6" l="1"/>
  <c r="G225" i="6" l="1"/>
  <c r="G255" i="6" l="1"/>
  <c r="G188" i="6" l="1"/>
  <c r="G26" i="6"/>
  <c r="G239" i="6" l="1"/>
  <c r="G254" i="6"/>
  <c r="G195" i="6"/>
  <c r="G263" i="6" l="1"/>
  <c r="G196" i="6"/>
  <c r="G198" i="6" l="1"/>
  <c r="G260" i="6"/>
  <c r="G275" i="6" l="1"/>
  <c r="G223" i="6"/>
  <c r="G276" i="6"/>
  <c r="G197" i="6" l="1"/>
  <c r="G213" i="6" l="1"/>
  <c r="G36" i="6"/>
  <c r="G243" i="6"/>
  <c r="G191" i="6" l="1"/>
  <c r="G27" i="6" l="1"/>
  <c r="G252" i="6"/>
  <c r="G143" i="6" l="1"/>
  <c r="G164" i="6"/>
  <c r="G206" i="6"/>
  <c r="G28" i="6" l="1"/>
  <c r="G199" i="6"/>
  <c r="G179" i="6" l="1"/>
  <c r="G165" i="6" l="1"/>
  <c r="G259" i="6"/>
  <c r="G29" i="6" l="1"/>
  <c r="G233" i="6"/>
  <c r="G166" i="6" l="1"/>
  <c r="G99" i="6" l="1"/>
  <c r="G249" i="6" l="1"/>
  <c r="G67" i="6" l="1"/>
  <c r="G167" i="6" l="1"/>
  <c r="G221" i="6" l="1"/>
  <c r="G104" i="6"/>
  <c r="G153" i="6"/>
  <c r="G149" i="6" l="1"/>
  <c r="G114" i="6" l="1"/>
  <c r="G277" i="6"/>
  <c r="G209" i="6" l="1"/>
  <c r="G210" i="6"/>
  <c r="G126" i="6" l="1"/>
  <c r="G168" i="6" l="1"/>
  <c r="G34" i="6" l="1"/>
  <c r="G218" i="6" l="1"/>
  <c r="G150" i="6" l="1"/>
  <c r="G174" i="6" l="1"/>
  <c r="G125" i="6" l="1"/>
  <c r="G30" i="6" l="1"/>
  <c r="G240" i="6"/>
  <c r="G279" i="6"/>
  <c r="G214" i="6"/>
  <c r="G204" i="6" l="1"/>
  <c r="G144" i="6"/>
</calcChain>
</file>

<file path=xl/sharedStrings.xml><?xml version="1.0" encoding="utf-8"?>
<sst xmlns="http://schemas.openxmlformats.org/spreadsheetml/2006/main" count="1572" uniqueCount="760">
  <si>
    <t>CODE BANQUE</t>
  </si>
  <si>
    <t>LIBELLE</t>
  </si>
  <si>
    <t>CODES AGENCES</t>
  </si>
  <si>
    <t>COMPTE</t>
  </si>
  <si>
    <t>NOM ET PRENOM</t>
  </si>
  <si>
    <t>Salaire net</t>
  </si>
  <si>
    <t>CI201</t>
  </si>
  <si>
    <t>BDA</t>
  </si>
  <si>
    <t>01001</t>
  </si>
  <si>
    <t>CI092</t>
  </si>
  <si>
    <t>BNI</t>
  </si>
  <si>
    <t>CI008</t>
  </si>
  <si>
    <t>SGBCI</t>
  </si>
  <si>
    <t>CI007</t>
  </si>
  <si>
    <t>SIB</t>
  </si>
  <si>
    <t>ADJOUMANE AFFOUA ASSEMIAN EVA EDITH</t>
  </si>
  <si>
    <t>AGNIMOU CHANCELLE</t>
  </si>
  <si>
    <t>CI042</t>
  </si>
  <si>
    <t>NSIA BANQUE</t>
  </si>
  <si>
    <t>CI034</t>
  </si>
  <si>
    <t>BACI</t>
  </si>
  <si>
    <t>AMICHIA AFFIBA GEORGES-MARIE DEBORAH</t>
  </si>
  <si>
    <t>AMOUZOUGAN EVA</t>
  </si>
  <si>
    <t>01138</t>
  </si>
  <si>
    <t>BADOU ABENAN</t>
  </si>
  <si>
    <t>CI032</t>
  </si>
  <si>
    <t>BANK OF AFRICA</t>
  </si>
  <si>
    <t>BEHOU VANESSA CAROLE</t>
  </si>
  <si>
    <t>COULIBALY FOUNGNIGUE DRISSA</t>
  </si>
  <si>
    <t>DATTE YAO KOSSONOU JACOB</t>
  </si>
  <si>
    <t>CI006</t>
  </si>
  <si>
    <t>BICICI</t>
  </si>
  <si>
    <t>01027</t>
  </si>
  <si>
    <t>EKWFULEM ONEDINMA CYNTHIA</t>
  </si>
  <si>
    <t>FOFANA MAMA</t>
  </si>
  <si>
    <t>GBAGO SERI OLIVIER SAMUEL</t>
  </si>
  <si>
    <t xml:space="preserve">GON STEPHANE </t>
  </si>
  <si>
    <t>CI059</t>
  </si>
  <si>
    <t>ECOBANK</t>
  </si>
  <si>
    <t>01056</t>
  </si>
  <si>
    <t>CI163</t>
  </si>
  <si>
    <t>GTBICI</t>
  </si>
  <si>
    <t>HIEN MARIE ANGE FRANCISCA</t>
  </si>
  <si>
    <t>IRIE GUILLE LOUX BEAULLY</t>
  </si>
  <si>
    <t>01051</t>
  </si>
  <si>
    <t>KOFFI AFFOUE ESTELLE TATIANA</t>
  </si>
  <si>
    <t>KOFFI BEHIBRO OLGA DAVILA</t>
  </si>
  <si>
    <t>KOFFI BERNADETTE</t>
  </si>
  <si>
    <t>KONAN N'DA ANGE REBECCA</t>
  </si>
  <si>
    <t>KONATE ABDOURAHAMANE</t>
  </si>
  <si>
    <t>KONE TCHAMININ OUMOU</t>
  </si>
  <si>
    <t>KOUAKOU N'GUESSAN ARIANNE CLEMENCE</t>
  </si>
  <si>
    <t>KOUASSI AFFOUE MINANDA</t>
  </si>
  <si>
    <t>LIZADE MLAINZI RODRIGUE</t>
  </si>
  <si>
    <t>MAREGA FATOUMATA</t>
  </si>
  <si>
    <t>CI166</t>
  </si>
  <si>
    <t>CORIS BANK</t>
  </si>
  <si>
    <t>SIDIBE GNAKALE</t>
  </si>
  <si>
    <t>CI106</t>
  </si>
  <si>
    <t>AFRILAND FIRST BANK</t>
  </si>
  <si>
    <t>TOURE KHALIL</t>
  </si>
  <si>
    <t>VIEIRA FRANCINE</t>
  </si>
  <si>
    <t>YAO AYA REINE INES</t>
  </si>
  <si>
    <t>YENON SEPHORA</t>
  </si>
  <si>
    <t>CI150</t>
  </si>
  <si>
    <t>UBA</t>
  </si>
  <si>
    <t>KOCOUA BRICE</t>
  </si>
  <si>
    <t>KOUASSI AMOIN AUDE PATRICIA</t>
  </si>
  <si>
    <t>N'DA BRICE ARISTIDE</t>
  </si>
  <si>
    <t xml:space="preserve">DJEBE ROSINE </t>
  </si>
  <si>
    <t>01032</t>
  </si>
  <si>
    <t>11164350005</t>
  </si>
  <si>
    <t>900003902800</t>
  </si>
  <si>
    <t>11270380010</t>
  </si>
  <si>
    <t>900016544110</t>
  </si>
  <si>
    <t>11272800005</t>
  </si>
  <si>
    <t>111512877652</t>
  </si>
  <si>
    <t>11164540002</t>
  </si>
  <si>
    <t>11164530006</t>
  </si>
  <si>
    <t>146649670018</t>
  </si>
  <si>
    <t>16451</t>
  </si>
  <si>
    <t>143175840015</t>
  </si>
  <si>
    <t>11164440001</t>
  </si>
  <si>
    <t>29003</t>
  </si>
  <si>
    <t>144486890028</t>
  </si>
  <si>
    <t>146943250019</t>
  </si>
  <si>
    <t>144682760011</t>
  </si>
  <si>
    <t>141164380028</t>
  </si>
  <si>
    <t>143095020017</t>
  </si>
  <si>
    <t>61329304001</t>
  </si>
  <si>
    <t>121378458001</t>
  </si>
  <si>
    <t>147686930018</t>
  </si>
  <si>
    <t>143867000017</t>
  </si>
  <si>
    <t>141951280014</t>
  </si>
  <si>
    <t>140766730015</t>
  </si>
  <si>
    <t>120412824001</t>
  </si>
  <si>
    <t>66796002501</t>
  </si>
  <si>
    <t>ADINGRA ASSAMALA CARINE-DANIELLE</t>
  </si>
  <si>
    <t xml:space="preserve">AGNERO KELINE </t>
  </si>
  <si>
    <t>DIGBE BRITTO FRANCOIS</t>
  </si>
  <si>
    <t>IKPO ZOUNOURE LETICIA</t>
  </si>
  <si>
    <t>GNANGNE AYOU MARIE-HELENE</t>
  </si>
  <si>
    <t>145580650013</t>
  </si>
  <si>
    <t xml:space="preserve">ALEBA TRE JEAN MARCEL </t>
  </si>
  <si>
    <t>TUO TENIN</t>
  </si>
  <si>
    <t>NOUMONVI AKOUAVI ACHLAI ROLANDE</t>
  </si>
  <si>
    <t>KOFFI KOUADIO ENOC SEBASTIEN</t>
  </si>
  <si>
    <t>CHOYI DIBY CHRIST ADAMS KOUAME</t>
  </si>
  <si>
    <t>111680272587</t>
  </si>
  <si>
    <t>111427400800</t>
  </si>
  <si>
    <t>111826972302</t>
  </si>
  <si>
    <t>111020393410</t>
  </si>
  <si>
    <t>111017524445</t>
  </si>
  <si>
    <t>56001</t>
  </si>
  <si>
    <t>149546880013</t>
  </si>
  <si>
    <t>111551671024</t>
  </si>
  <si>
    <t>111161614228</t>
  </si>
  <si>
    <t>111538974347</t>
  </si>
  <si>
    <t>111046300220</t>
  </si>
  <si>
    <t>111609073462</t>
  </si>
  <si>
    <t>111406916419</t>
  </si>
  <si>
    <t>111112990243</t>
  </si>
  <si>
    <t>111710596233</t>
  </si>
  <si>
    <t>111933351691</t>
  </si>
  <si>
    <t>111103713471</t>
  </si>
  <si>
    <t>111282761429</t>
  </si>
  <si>
    <t xml:space="preserve">CI150 </t>
  </si>
  <si>
    <t>101670000793</t>
  </si>
  <si>
    <t>CI180</t>
  </si>
  <si>
    <t>121436217001</t>
  </si>
  <si>
    <t>BLA AKISSI REGINA</t>
  </si>
  <si>
    <t>KEITA ASTOU YASMINA</t>
  </si>
  <si>
    <t>BEUGRE ATTIEE RENEE ODILE</t>
  </si>
  <si>
    <t>DIABATE AMOIN FLORE ISABELLE</t>
  </si>
  <si>
    <t>DIOMANDE MYRIAM FATIM MALIKA</t>
  </si>
  <si>
    <t>BIDIE EVA EMMANUELLA</t>
  </si>
  <si>
    <t>ADELOWO ABUDUL KADIRI ADEWALE</t>
  </si>
  <si>
    <t>DIGBEA HOMA JOSIANE</t>
  </si>
  <si>
    <t xml:space="preserve">BAKARI OBROU CARINNE </t>
  </si>
  <si>
    <t>BIA LILI LOUISE</t>
  </si>
  <si>
    <t>145980660018</t>
  </si>
  <si>
    <t xml:space="preserve">TAPE HERVE SERGES </t>
  </si>
  <si>
    <t xml:space="preserve">KOUEHIO EVELYNE </t>
  </si>
  <si>
    <t>BDU-CI</t>
  </si>
  <si>
    <t>YOUAN BI LIZIE ARNAUD</t>
  </si>
  <si>
    <t>DICKO FATOUMATA AKOI</t>
  </si>
  <si>
    <t>KOUAO MARIE AKOUBA DOUMIE</t>
  </si>
  <si>
    <t>YAPO BLANCHARD</t>
  </si>
  <si>
    <t>AKOUE ALFRED</t>
  </si>
  <si>
    <t>144957220012</t>
  </si>
  <si>
    <t>111977278055</t>
  </si>
  <si>
    <t>111995485154</t>
  </si>
  <si>
    <t>111982241451</t>
  </si>
  <si>
    <t>111834021272</t>
  </si>
  <si>
    <t>111419546606</t>
  </si>
  <si>
    <t>11163980000</t>
  </si>
  <si>
    <t>201900216144</t>
  </si>
  <si>
    <t>900005875310</t>
  </si>
  <si>
    <t>141164470019</t>
  </si>
  <si>
    <t>BOHOUSSOU RITA MARTHE</t>
  </si>
  <si>
    <t>DJATTE AMAN MARIE JULIAS</t>
  </si>
  <si>
    <t>KOUAME KOUASSI MARIUS</t>
  </si>
  <si>
    <t xml:space="preserve">AMOUZOU GERMAINE </t>
  </si>
  <si>
    <t>ESSO NIAMKEY CATHY</t>
  </si>
  <si>
    <t>KOUAKOU YAO KOUMAN LOUIS SERGES</t>
  </si>
  <si>
    <t>146112580012</t>
  </si>
  <si>
    <t>KWAMINAN ESSI ABLEMA ETCHI MICHELINE</t>
  </si>
  <si>
    <t xml:space="preserve">OULE CHARBELLE EVA </t>
  </si>
  <si>
    <t xml:space="preserve">SOUMAHORO MASSOGBE </t>
  </si>
  <si>
    <t xml:space="preserve">TRAZIE BI LORHOU SERGES PACOME </t>
  </si>
  <si>
    <t>KOUADIO AMENAN LILIANE</t>
  </si>
  <si>
    <t>111018950945</t>
  </si>
  <si>
    <t>ABOA Affoue Danielle</t>
  </si>
  <si>
    <t>TOURE FOUE ZOUMANA</t>
  </si>
  <si>
    <t xml:space="preserve">KEBE EMMANUEL </t>
  </si>
  <si>
    <t>AHI PHILIPPE ANDRE</t>
  </si>
  <si>
    <t xml:space="preserve">COULIBALY RAISSA </t>
  </si>
  <si>
    <t>THIAM MYRIAM</t>
  </si>
  <si>
    <t>KONAN LAHOURET ASSASSY CLAUDE</t>
  </si>
  <si>
    <t xml:space="preserve">BERTE SIRIKI ZIE </t>
  </si>
  <si>
    <t xml:space="preserve">KOUASSI MARTIAL </t>
  </si>
  <si>
    <t xml:space="preserve">KRASTIE BEUGRE ELOISE MANUELLA </t>
  </si>
  <si>
    <t xml:space="preserve">AMAKOUE DELALI KAYI SOPHIE </t>
  </si>
  <si>
    <t>DOUO GAIUS  YVES HERMANN</t>
  </si>
  <si>
    <t xml:space="preserve">ABOUA DJEDJI STEPHANIA </t>
  </si>
  <si>
    <t>YAYO ESTHER JEANNNE D'ARC</t>
  </si>
  <si>
    <t xml:space="preserve">TONDE FATOU </t>
  </si>
  <si>
    <t xml:space="preserve">KONE YAFOLOH AKISSI YASMINE DEBORAH </t>
  </si>
  <si>
    <t>AMANI TICOLI AHOU MARIE EUNICE</t>
  </si>
  <si>
    <t>ABEKOUA DANHO PIERRE</t>
  </si>
  <si>
    <t>TOURE RICHMONDE</t>
  </si>
  <si>
    <t>TRABOUE BI GUESSAN ANGE</t>
  </si>
  <si>
    <t>MOUHO DESCANE</t>
  </si>
  <si>
    <t>KOUASSI AYA MARIE DOMINIQUE NANKY</t>
  </si>
  <si>
    <t>900005440100</t>
  </si>
  <si>
    <t>SAPIM BENEDICTE JESSICA</t>
  </si>
  <si>
    <t>KAFFROUMAN N'GORAN REBECCA EPSE KOUAME</t>
  </si>
  <si>
    <t>SINAYOKO MARIAM</t>
  </si>
  <si>
    <t>OUATTARA ADJA MADJALIA</t>
  </si>
  <si>
    <t>BAMBA FATIM GAELLE</t>
  </si>
  <si>
    <t>DIALLO ALPHA OUMAR</t>
  </si>
  <si>
    <t>BAKYONO LINDA BENEDICTA</t>
  </si>
  <si>
    <t>AMOUZOU ABLA CHRISTINE</t>
  </si>
  <si>
    <t>GBADJI NASSI ESTELLE</t>
  </si>
  <si>
    <t>ALLOBOH ESSI RAISSA</t>
  </si>
  <si>
    <t>OLOTA N'DA JOHN</t>
  </si>
  <si>
    <t>SEKOU CHERIF</t>
  </si>
  <si>
    <t>FANNY AMINATA</t>
  </si>
  <si>
    <t>MIESSAN KISSI AXELLE</t>
  </si>
  <si>
    <t>DIABAGATE DIATA SABE</t>
  </si>
  <si>
    <t>ZADI DJEDJA DIANE MELISSA</t>
  </si>
  <si>
    <t>KOKOCHIE ORPHEE DIVINA</t>
  </si>
  <si>
    <t>YEO SIELE MAMADOU</t>
  </si>
  <si>
    <t>N'GUESSAN AMY OLIVIA MARCELLE</t>
  </si>
  <si>
    <t>SILUE YEWONYETA AWA</t>
  </si>
  <si>
    <t>111271587139</t>
  </si>
  <si>
    <t>117615289221</t>
  </si>
  <si>
    <t>111431034209</t>
  </si>
  <si>
    <t>111149066468</t>
  </si>
  <si>
    <t>900007494430</t>
  </si>
  <si>
    <t>111787758994</t>
  </si>
  <si>
    <t>111447208786</t>
  </si>
  <si>
    <t>111355732786</t>
  </si>
  <si>
    <t>111441951056</t>
  </si>
  <si>
    <t>111661669775</t>
  </si>
  <si>
    <t>111855489254</t>
  </si>
  <si>
    <t>111671153045</t>
  </si>
  <si>
    <t>111674267818</t>
  </si>
  <si>
    <t>111336988046</t>
  </si>
  <si>
    <t>10001</t>
  </si>
  <si>
    <t>146901440012</t>
  </si>
  <si>
    <t>111876049565</t>
  </si>
  <si>
    <t>111635981002</t>
  </si>
  <si>
    <t>111013435022</t>
  </si>
  <si>
    <t>111612656666</t>
  </si>
  <si>
    <t>111868830253</t>
  </si>
  <si>
    <t>111638492295</t>
  </si>
  <si>
    <t>111307875766</t>
  </si>
  <si>
    <t>111561101069</t>
  </si>
  <si>
    <t>111103794847</t>
  </si>
  <si>
    <t>111038964019</t>
  </si>
  <si>
    <t>111019491734</t>
  </si>
  <si>
    <t>111234691069</t>
  </si>
  <si>
    <t>111497074461</t>
  </si>
  <si>
    <t>111692619209</t>
  </si>
  <si>
    <t>111462199027</t>
  </si>
  <si>
    <t xml:space="preserve">CI201 </t>
  </si>
  <si>
    <t xml:space="preserve">YAO DONALD </t>
  </si>
  <si>
    <t>ZINSOU JEAN PAUL RAOUL G</t>
  </si>
  <si>
    <t xml:space="preserve">AKOTO AKISSI BIENVENUE </t>
  </si>
  <si>
    <t>BOUADOU BRIGITTE RACHELLE</t>
  </si>
  <si>
    <t xml:space="preserve">KOUBEGNAGLO DEDE ABIGAELLE </t>
  </si>
  <si>
    <t>MEY MOYA MARIE HELENE ANGE</t>
  </si>
  <si>
    <t>AKA  AKISSI ROSINE EMMANUELLA</t>
  </si>
  <si>
    <t>GUEU JOSIAS ANDRE OUALO</t>
  </si>
  <si>
    <t>LEGNON NIZIE AUDE</t>
  </si>
  <si>
    <t xml:space="preserve">OSSENI YOUCHAOU OLATOUNDE </t>
  </si>
  <si>
    <t>OUATTARA ANDRE MOUSSA</t>
  </si>
  <si>
    <t xml:space="preserve">OUATTARA GNELE MAWA </t>
  </si>
  <si>
    <t xml:space="preserve">OUATTARA SAFIATOU DANIELLE </t>
  </si>
  <si>
    <t>TCHITCHE SAINTE ARIANE</t>
  </si>
  <si>
    <t>ADJI LILIANE</t>
  </si>
  <si>
    <t>OKIE SUNDAY OKIE</t>
  </si>
  <si>
    <t xml:space="preserve">KOFFI AYA EPIPHANIE  </t>
  </si>
  <si>
    <t>ABOUO ANEY NAOMIE</t>
  </si>
  <si>
    <t xml:space="preserve">TIE BI  FOUA HUBERT </t>
  </si>
  <si>
    <t xml:space="preserve"> 01001</t>
  </si>
  <si>
    <t>111599739791</t>
  </si>
  <si>
    <t>BOA</t>
  </si>
  <si>
    <t>CI260</t>
  </si>
  <si>
    <t>KOUASSI KOUAKOU BAFAI PRINCE LUDOVIC</t>
  </si>
  <si>
    <t>IRIE BI LIZIE EVRARD</t>
  </si>
  <si>
    <t>NOUAMAN ANNICK ESPERANCE</t>
  </si>
  <si>
    <t>KOUADIO GHISLAIN WILFRIED</t>
  </si>
  <si>
    <t>111234438539</t>
  </si>
  <si>
    <t>111823008557</t>
  </si>
  <si>
    <t>111201145382</t>
  </si>
  <si>
    <t xml:space="preserve">KEITA MARIAM </t>
  </si>
  <si>
    <t>121682002001</t>
  </si>
  <si>
    <t>04037</t>
  </si>
  <si>
    <t>900010683260</t>
  </si>
  <si>
    <t>01558</t>
  </si>
  <si>
    <t>010972500037</t>
  </si>
  <si>
    <t>01226</t>
  </si>
  <si>
    <t>0687440040001</t>
  </si>
  <si>
    <t>085299424801</t>
  </si>
  <si>
    <t>01126</t>
  </si>
  <si>
    <t>012644600011</t>
  </si>
  <si>
    <t>013841715777</t>
  </si>
  <si>
    <t>KALLO MOUSSA</t>
  </si>
  <si>
    <t>111840877602</t>
  </si>
  <si>
    <t>4002</t>
  </si>
  <si>
    <t>1001</t>
  </si>
  <si>
    <t>11210910018</t>
  </si>
  <si>
    <t>1049</t>
  </si>
  <si>
    <t>5001</t>
  </si>
  <si>
    <t>11272720006</t>
  </si>
  <si>
    <t>1027</t>
  </si>
  <si>
    <t>1050</t>
  </si>
  <si>
    <t>11272900007</t>
  </si>
  <si>
    <t>1018</t>
  </si>
  <si>
    <t>11164480003</t>
  </si>
  <si>
    <t>11163540003</t>
  </si>
  <si>
    <t>1016</t>
  </si>
  <si>
    <t>1005</t>
  </si>
  <si>
    <t>26401121068</t>
  </si>
  <si>
    <t>26401123539</t>
  </si>
  <si>
    <t>1020</t>
  </si>
  <si>
    <t>96367300083</t>
  </si>
  <si>
    <t>84953524801</t>
  </si>
  <si>
    <t>83637424801</t>
  </si>
  <si>
    <t>85435624801</t>
  </si>
  <si>
    <t>1007</t>
  </si>
  <si>
    <t>10075725401</t>
  </si>
  <si>
    <t>1032</t>
  </si>
  <si>
    <t>1217</t>
  </si>
  <si>
    <t>69556902501</t>
  </si>
  <si>
    <t>1227</t>
  </si>
  <si>
    <t>79567902501</t>
  </si>
  <si>
    <t>1239</t>
  </si>
  <si>
    <t>70486002501</t>
  </si>
  <si>
    <t>4248</t>
  </si>
  <si>
    <t>66696602501</t>
  </si>
  <si>
    <t>68867602501</t>
  </si>
  <si>
    <t>79551302501</t>
  </si>
  <si>
    <t>1274</t>
  </si>
  <si>
    <t>73715703501</t>
  </si>
  <si>
    <t>1288</t>
  </si>
  <si>
    <t>78502202501</t>
  </si>
  <si>
    <t>80295502501</t>
  </si>
  <si>
    <t>1138</t>
  </si>
  <si>
    <t>13842725789</t>
  </si>
  <si>
    <t>1125</t>
  </si>
  <si>
    <t>12552925337</t>
  </si>
  <si>
    <t>1122</t>
  </si>
  <si>
    <t>12247845968</t>
  </si>
  <si>
    <t>1137</t>
  </si>
  <si>
    <t>13742089531</t>
  </si>
  <si>
    <t>1115</t>
  </si>
  <si>
    <t>11544394487</t>
  </si>
  <si>
    <t>1111</t>
  </si>
  <si>
    <t>45143042884</t>
  </si>
  <si>
    <t>1119</t>
  </si>
  <si>
    <t>11942142475</t>
  </si>
  <si>
    <t>1110</t>
  </si>
  <si>
    <t>11041127909</t>
  </si>
  <si>
    <t>1131</t>
  </si>
  <si>
    <t>13144161988</t>
  </si>
  <si>
    <t>12554815322</t>
  </si>
  <si>
    <t>11123987707</t>
  </si>
  <si>
    <t>2241</t>
  </si>
  <si>
    <t>1087</t>
  </si>
  <si>
    <t>900006026760</t>
  </si>
  <si>
    <t>1062</t>
  </si>
  <si>
    <t>5079</t>
  </si>
  <si>
    <t>1051</t>
  </si>
  <si>
    <t>1081</t>
  </si>
  <si>
    <t>7001</t>
  </si>
  <si>
    <t>01042</t>
  </si>
  <si>
    <t>900010919930</t>
  </si>
  <si>
    <t>01259</t>
  </si>
  <si>
    <t>068637404001</t>
  </si>
  <si>
    <t>90000583927</t>
  </si>
  <si>
    <t>ASSI AXELLE FAHISSA</t>
  </si>
  <si>
    <t>005248990006</t>
  </si>
  <si>
    <t>KOFFI ADJOUA OLIVIA NADEGE STEPHANIE</t>
  </si>
  <si>
    <t>01017</t>
  </si>
  <si>
    <t>009680100201</t>
  </si>
  <si>
    <t>009681800201</t>
  </si>
  <si>
    <t>01035</t>
  </si>
  <si>
    <t>009148490001</t>
  </si>
  <si>
    <t>01023</t>
  </si>
  <si>
    <t>009413490000</t>
  </si>
  <si>
    <t>01022</t>
  </si>
  <si>
    <t>008892240019</t>
  </si>
  <si>
    <t>01005</t>
  </si>
  <si>
    <t>002070040002</t>
  </si>
  <si>
    <t>01016</t>
  </si>
  <si>
    <t>008292120007</t>
  </si>
  <si>
    <t>01029</t>
  </si>
  <si>
    <t>006942610013</t>
  </si>
  <si>
    <t>04001</t>
  </si>
  <si>
    <t>005904760001</t>
  </si>
  <si>
    <t>02001</t>
  </si>
  <si>
    <t>004574980004</t>
  </si>
  <si>
    <t>01026</t>
  </si>
  <si>
    <t>008665540000</t>
  </si>
  <si>
    <t>01012</t>
  </si>
  <si>
    <t>06001</t>
  </si>
  <si>
    <t>000610570006</t>
  </si>
  <si>
    <t>000940430007</t>
  </si>
  <si>
    <t>009411170007</t>
  </si>
  <si>
    <t>003569400003</t>
  </si>
  <si>
    <t>01015</t>
  </si>
  <si>
    <t>006643950001</t>
  </si>
  <si>
    <t>01009</t>
  </si>
  <si>
    <t>009757725401</t>
  </si>
  <si>
    <t>01202</t>
  </si>
  <si>
    <t>000000234309</t>
  </si>
  <si>
    <t>000000262138</t>
  </si>
  <si>
    <t>01085</t>
  </si>
  <si>
    <t>01082</t>
  </si>
  <si>
    <t>008210436195</t>
  </si>
  <si>
    <t>01096</t>
  </si>
  <si>
    <t>009644275359</t>
  </si>
  <si>
    <t>142490520022</t>
  </si>
  <si>
    <t>AFG</t>
  </si>
  <si>
    <t>09202</t>
  </si>
  <si>
    <t>013882450001</t>
  </si>
  <si>
    <t>DJAMO</t>
  </si>
  <si>
    <t>010880100301</t>
  </si>
  <si>
    <t>01111</t>
  </si>
  <si>
    <t>011172400301</t>
  </si>
  <si>
    <t>BDU</t>
  </si>
  <si>
    <t>026401121351</t>
  </si>
  <si>
    <t>111359668688</t>
  </si>
  <si>
    <t>NSIA</t>
  </si>
  <si>
    <t>01281</t>
  </si>
  <si>
    <t>066808802501</t>
  </si>
  <si>
    <t>01217</t>
  </si>
  <si>
    <t>070755502501</t>
  </si>
  <si>
    <t>51201</t>
  </si>
  <si>
    <t>013818250001</t>
  </si>
  <si>
    <t>OUATTARA ABOUDRAMANE</t>
  </si>
  <si>
    <t xml:space="preserve">OKA ALLA ALICE PRISCA </t>
  </si>
  <si>
    <t>DIE JEAN BORIS</t>
  </si>
  <si>
    <t>010879600301</t>
  </si>
  <si>
    <t>01242</t>
  </si>
  <si>
    <t>024240795393</t>
  </si>
  <si>
    <t>011182367761</t>
  </si>
  <si>
    <t>02003</t>
  </si>
  <si>
    <t>00491025401</t>
  </si>
  <si>
    <t>CI121</t>
  </si>
  <si>
    <t>ORABANK</t>
  </si>
  <si>
    <t>08301</t>
  </si>
  <si>
    <t>033922300101</t>
  </si>
  <si>
    <t>TOURE FATOUMATA SARRAH DJERIKA</t>
  </si>
  <si>
    <t>TAHI FLORA XAVIER</t>
  </si>
  <si>
    <t>111608047582</t>
  </si>
  <si>
    <t>111901797119</t>
  </si>
  <si>
    <t>121748355001</t>
  </si>
  <si>
    <t>BDA(DJAMO)</t>
  </si>
  <si>
    <t>PEHOU KOUADIO GRACE COLOMBE</t>
  </si>
  <si>
    <t>TOSSEU MELISSA</t>
  </si>
  <si>
    <t>YAEMON DJINSHIA LEILA</t>
  </si>
  <si>
    <t>111121706123</t>
  </si>
  <si>
    <t>GUEHI AUDREY BELLE SARAH</t>
  </si>
  <si>
    <t xml:space="preserve">TADIASSE ABLAN DORAINE </t>
  </si>
  <si>
    <t xml:space="preserve">TOLLAH ASTRIDE </t>
  </si>
  <si>
    <t xml:space="preserve">AHOUAKEE MELAINE </t>
  </si>
  <si>
    <t>ANGAMAN CARINE</t>
  </si>
  <si>
    <t xml:space="preserve">BOBOUE DELAURE </t>
  </si>
  <si>
    <t xml:space="preserve">DOUHOUROU AKISSI MARIE JOELLE </t>
  </si>
  <si>
    <t>024149709894</t>
  </si>
  <si>
    <t xml:space="preserve">ENAM ROCHER </t>
  </si>
  <si>
    <t xml:space="preserve">HIE ANASTASIE </t>
  </si>
  <si>
    <t xml:space="preserve">OUSSOU PAUL HENRY </t>
  </si>
  <si>
    <t xml:space="preserve">SINAYOKO MOUSTAPHA </t>
  </si>
  <si>
    <t>TAKI FELICITE</t>
  </si>
  <si>
    <t xml:space="preserve">TRAORE AZIZ </t>
  </si>
  <si>
    <t xml:space="preserve">YEBOUE STEPHANE </t>
  </si>
  <si>
    <t xml:space="preserve">ADOU ASSAMOI ADJIRI ARSENE </t>
  </si>
  <si>
    <t xml:space="preserve">KONAN YAO DIDIER </t>
  </si>
  <si>
    <t>111603776027</t>
  </si>
  <si>
    <t>KOUASSI  MARIE ORLANE AXELLE</t>
  </si>
  <si>
    <t xml:space="preserve">YAO AFFOUE CHARLENE </t>
  </si>
  <si>
    <t>SARAKA AYA ANGELE</t>
  </si>
  <si>
    <t>111772630749</t>
  </si>
  <si>
    <t>VEHI BIENVENUE EPSE N'ZI</t>
  </si>
  <si>
    <t>111859462532</t>
  </si>
  <si>
    <t>ADJANOR VIASSI EMMANUEL</t>
  </si>
  <si>
    <t>080284602501</t>
  </si>
  <si>
    <t>SERI CHRIST NOEL</t>
  </si>
  <si>
    <t>01006</t>
  </si>
  <si>
    <t>026401155298</t>
  </si>
  <si>
    <t xml:space="preserve">DOUMBIA ABIBATA </t>
  </si>
  <si>
    <t>01003</t>
  </si>
  <si>
    <t>111786475239</t>
  </si>
  <si>
    <t xml:space="preserve">SEI MARIE JOSEE VALERIE </t>
  </si>
  <si>
    <t>01046</t>
  </si>
  <si>
    <t>900007044780</t>
  </si>
  <si>
    <t>AMOU LATH AMOU PIERRE </t>
  </si>
  <si>
    <t>111399193312</t>
  </si>
  <si>
    <t>AGAH GEORJUITE AKOUBA PARFAITE</t>
  </si>
  <si>
    <t>01031</t>
  </si>
  <si>
    <t>122221617001</t>
  </si>
  <si>
    <t xml:space="preserve">KEKE SARA </t>
  </si>
  <si>
    <t>01131</t>
  </si>
  <si>
    <t>013145730459</t>
  </si>
  <si>
    <t>KOUAKOU ETTIEN ANDRE MARTIAL</t>
  </si>
  <si>
    <t>067312502501</t>
  </si>
  <si>
    <t xml:space="preserve">KASSE AKOUBA </t>
  </si>
  <si>
    <t>01094</t>
  </si>
  <si>
    <t>000094525476</t>
  </si>
  <si>
    <t>KADIO HAIGNINY ABLAN M. GERAUDE</t>
  </si>
  <si>
    <t>80729102501</t>
  </si>
  <si>
    <t>KOUASSI LOU DELPHINE</t>
  </si>
  <si>
    <t>026401170001</t>
  </si>
  <si>
    <t xml:space="preserve">KONE BOMO NOEMIE NADEGE </t>
  </si>
  <si>
    <t>GTCO</t>
  </si>
  <si>
    <t>01203</t>
  </si>
  <si>
    <t>01089</t>
  </si>
  <si>
    <t>008941344446</t>
  </si>
  <si>
    <t>OKOMA MARIE FELICITE</t>
  </si>
  <si>
    <t>000000062527</t>
  </si>
  <si>
    <t>OUATTARA JEAN EDMOND</t>
  </si>
  <si>
    <t>070038702501</t>
  </si>
  <si>
    <t xml:space="preserve">KASSI EKOI </t>
  </si>
  <si>
    <t>DJAMALIDDINE ZAMZAM</t>
  </si>
  <si>
    <t>111156393840</t>
  </si>
  <si>
    <t>SOUMAHORO ZOH JUNIOR PATRICK</t>
  </si>
  <si>
    <t>070502302501</t>
  </si>
  <si>
    <t>MANHAN AMON GRACE ESTHER</t>
  </si>
  <si>
    <t>111679240604</t>
  </si>
  <si>
    <t>MESSEY GBEHOUON ALEX ERIC</t>
  </si>
  <si>
    <t>01028</t>
  </si>
  <si>
    <t>000703230002</t>
  </si>
  <si>
    <t>069554402501</t>
  </si>
  <si>
    <t>N'DA KONAN JUSLAIN</t>
  </si>
  <si>
    <t>026401168234</t>
  </si>
  <si>
    <t>SENY AMOIN FLORE VALERIE</t>
  </si>
  <si>
    <t>080284802501</t>
  </si>
  <si>
    <t>KOUAME KOUAO JEAN EMMANUEL</t>
  </si>
  <si>
    <t>081425702501</t>
  </si>
  <si>
    <t xml:space="preserve">BABO BRAKISSA </t>
  </si>
  <si>
    <t>080292302501</t>
  </si>
  <si>
    <t>DOSSOUVI SARA GALOHONON</t>
  </si>
  <si>
    <t>01019</t>
  </si>
  <si>
    <t>141459660014</t>
  </si>
  <si>
    <t>KONE TINDIO</t>
  </si>
  <si>
    <t>081422602501</t>
  </si>
  <si>
    <t xml:space="preserve">ZATTE WINNIE </t>
  </si>
  <si>
    <t>068872202501</t>
  </si>
  <si>
    <t>KONAN KOUAME FERDINAND</t>
  </si>
  <si>
    <t>070028702501</t>
  </si>
  <si>
    <t>PANGNI ANGE YOU CYNYHIA</t>
  </si>
  <si>
    <t>070529202501</t>
  </si>
  <si>
    <t>EKOUN AMENAN PAUL REGINA</t>
  </si>
  <si>
    <t>01753</t>
  </si>
  <si>
    <t>010225400016</t>
  </si>
  <si>
    <t xml:space="preserve">BATOUA MARIE NOELLE </t>
  </si>
  <si>
    <t>068869102501</t>
  </si>
  <si>
    <t>TOURE LAMIFI  MARIE-EVE FATIM</t>
  </si>
  <si>
    <t>01225</t>
  </si>
  <si>
    <t>063401002501</t>
  </si>
  <si>
    <t>TOURE NIANFA FATOU</t>
  </si>
  <si>
    <t>01228</t>
  </si>
  <si>
    <t>079427604001</t>
  </si>
  <si>
    <t xml:space="preserve">DJIGUIBA AICHA </t>
  </si>
  <si>
    <t>070484202501</t>
  </si>
  <si>
    <t>DIOMANDE AMINATA</t>
  </si>
  <si>
    <t>068852702501</t>
  </si>
  <si>
    <t>OGHENEOVO AKASSI  PHILOMENE</t>
  </si>
  <si>
    <t>24312</t>
  </si>
  <si>
    <t>031243797653</t>
  </si>
  <si>
    <t>YAO KOUASSI BORIS DAVID</t>
  </si>
  <si>
    <t>121985855001</t>
  </si>
  <si>
    <t xml:space="preserve">BAH GRACE MARIE CHARLENE </t>
  </si>
  <si>
    <t>111004515382</t>
  </si>
  <si>
    <t>DANIOKO AICHA</t>
  </si>
  <si>
    <t>111687997194</t>
  </si>
  <si>
    <t>GBONGUE DRO PARFAIT</t>
  </si>
  <si>
    <t>111801624209</t>
  </si>
  <si>
    <t>VAGBE OUEDJI JEAN-YVES M.</t>
  </si>
  <si>
    <t>GTBANK</t>
  </si>
  <si>
    <t>000000232660</t>
  </si>
  <si>
    <t>KOIVOGUI M'BOGBO</t>
  </si>
  <si>
    <t>026401160058</t>
  </si>
  <si>
    <t xml:space="preserve">BEDIA EULALIE-AXELLE  INES ABLAN </t>
  </si>
  <si>
    <t>070508402501</t>
  </si>
  <si>
    <t>TOHA FLIE SERGE ROMAIN</t>
  </si>
  <si>
    <t>01139</t>
  </si>
  <si>
    <t>013940680710</t>
  </si>
  <si>
    <t xml:space="preserve">DIALLO OUMOU </t>
  </si>
  <si>
    <t>800690691002</t>
  </si>
  <si>
    <t>111413148996</t>
  </si>
  <si>
    <t>DIOMANDE MATIENI</t>
  </si>
  <si>
    <t>45275</t>
  </si>
  <si>
    <t>085515402501</t>
  </si>
  <si>
    <t>KOUASSI KOUASSI MATHIAS</t>
  </si>
  <si>
    <t>111274232310</t>
  </si>
  <si>
    <t>KONAN FABRICE</t>
  </si>
  <si>
    <t>111502761965</t>
  </si>
  <si>
    <t>DAGO EMMANUELLA LYDIA</t>
  </si>
  <si>
    <t>111043818963</t>
  </si>
  <si>
    <t>KONAN MARCEL GERARD</t>
  </si>
  <si>
    <t>111837358893</t>
  </si>
  <si>
    <t>070027002501</t>
  </si>
  <si>
    <t>VANGAH AMOKOU AUDE MARLENE</t>
  </si>
  <si>
    <t>000000095702</t>
  </si>
  <si>
    <t>DIALLO MARIAMA</t>
  </si>
  <si>
    <t>111864444018</t>
  </si>
  <si>
    <t>TRE VANESSA  URSULA</t>
  </si>
  <si>
    <t>111050064317</t>
  </si>
  <si>
    <t>SY MARIMA</t>
  </si>
  <si>
    <t>117900784156</t>
  </si>
  <si>
    <t>KACOU ADJA MODESTE</t>
  </si>
  <si>
    <t>147725650028</t>
  </si>
  <si>
    <t>DEBO N'GUESSAN JOCELLINE JOELLE</t>
  </si>
  <si>
    <t>111876495948</t>
  </si>
  <si>
    <t>KEIPO THENA VANESSA CARMEL</t>
  </si>
  <si>
    <t>BATIONO SARAH</t>
  </si>
  <si>
    <t>GUEI GUEADAHAN  LESLIE  PULCHERIE</t>
  </si>
  <si>
    <t>111444257710</t>
  </si>
  <si>
    <t xml:space="preserve">MAIKANO KADIDJA KENZA </t>
  </si>
  <si>
    <t>01239</t>
  </si>
  <si>
    <t>01108</t>
  </si>
  <si>
    <t>01282</t>
  </si>
  <si>
    <t>025254202501</t>
  </si>
  <si>
    <t>YAPO BECHO DINGUY TUDAL</t>
  </si>
  <si>
    <t>111868793123</t>
  </si>
  <si>
    <t>COULIBALY HONORAT REGIS</t>
  </si>
  <si>
    <t>008210639390</t>
  </si>
  <si>
    <t>ALINGRA Majorie</t>
  </si>
  <si>
    <t xml:space="preserve">NGUESSAN NGUESSAN PAULE KEVINE </t>
  </si>
  <si>
    <t xml:space="preserve">CAMARA KINAYA </t>
  </si>
  <si>
    <t xml:space="preserve"> 009114770006</t>
  </si>
  <si>
    <t>KOUAKOU AMENAN FELICITEE</t>
  </si>
  <si>
    <t xml:space="preserve">OTCHOUMOU MARIE ANGE AIMEE </t>
  </si>
  <si>
    <t>KOUAKOU ADJOUA DESIREE MARLENE</t>
  </si>
  <si>
    <t xml:space="preserve">TAPE OGOU LEANDRE </t>
  </si>
  <si>
    <t>01270</t>
  </si>
  <si>
    <t>AKA ANE ERIC</t>
  </si>
  <si>
    <t>010842862293</t>
  </si>
  <si>
    <t>062874502501</t>
  </si>
  <si>
    <t>OUATTARA MARIAM</t>
  </si>
  <si>
    <t>067325202501</t>
  </si>
  <si>
    <t>05001</t>
  </si>
  <si>
    <t xml:space="preserve">KOFFI KAN STEPHANE </t>
  </si>
  <si>
    <t>068869802501</t>
  </si>
  <si>
    <t xml:space="preserve">LEGNON CELINE </t>
  </si>
  <si>
    <t>01008</t>
  </si>
  <si>
    <t>KOUASSI KOUASSI Prosper</t>
  </si>
  <si>
    <t>070545002501</t>
  </si>
  <si>
    <t>KAMAGATE AICHA</t>
  </si>
  <si>
    <t>026401172778</t>
  </si>
  <si>
    <t>009145060002</t>
  </si>
  <si>
    <t>DION OULY MARIE</t>
  </si>
  <si>
    <t>111823241171</t>
  </si>
  <si>
    <t>111393187091</t>
  </si>
  <si>
    <t>GLOU Sissoh Christelle</t>
  </si>
  <si>
    <t>082533102501</t>
  </si>
  <si>
    <t>000000089870</t>
  </si>
  <si>
    <t>SIMBRE ZEYNABOU</t>
  </si>
  <si>
    <t>48343297624</t>
  </si>
  <si>
    <t>ALLOU YAH MARLENE ALEXIS</t>
  </si>
  <si>
    <t>026401145215</t>
  </si>
  <si>
    <t xml:space="preserve">AMANI GINETTE SIMARD DELAFOSSE </t>
  </si>
  <si>
    <t>900006130440</t>
  </si>
  <si>
    <t>BEDI  ANGE VALERIE MOKOH Epse SEDEU</t>
  </si>
  <si>
    <t>N'GUETTA HELLOKAN JEAN LACHAISE</t>
  </si>
  <si>
    <t xml:space="preserve">01202 </t>
  </si>
  <si>
    <t>000000227717</t>
  </si>
  <si>
    <t>111996695951</t>
  </si>
  <si>
    <t>1266</t>
  </si>
  <si>
    <t>27142604001</t>
  </si>
  <si>
    <t>FANNY KARIDJA</t>
  </si>
  <si>
    <t>900006097420</t>
  </si>
  <si>
    <t>070480702501</t>
  </si>
  <si>
    <t>CI154</t>
  </si>
  <si>
    <t>BSIC</t>
  </si>
  <si>
    <t>01507</t>
  </si>
  <si>
    <t>000200152781</t>
  </si>
  <si>
    <t>111708012769</t>
  </si>
  <si>
    <t>011196711738</t>
  </si>
  <si>
    <t>111215666853</t>
  </si>
  <si>
    <t>OUATTARA ZEMONGO IBRAHIM</t>
  </si>
  <si>
    <t>MAZAZA MAFUSI</t>
  </si>
  <si>
    <t xml:space="preserve">OURA AHOU FLEUR PRUDENCE ETRAN </t>
  </si>
  <si>
    <t xml:space="preserve">BLEGNON BAH AUDREY CARINE </t>
  </si>
  <si>
    <t>LOUBOUKA DOMINIQUE PRIGO RUTH RUFINA</t>
  </si>
  <si>
    <t>ALIDOU SIDIBE MASSAGONAH SONIA</t>
  </si>
  <si>
    <t xml:space="preserve">AMOUDJI AKA YANN CEDRIC </t>
  </si>
  <si>
    <t>AFG BANK</t>
  </si>
  <si>
    <t>DAGO JOELLE</t>
  </si>
  <si>
    <t>800709520001</t>
  </si>
  <si>
    <t>ALLA EMMANUEL JEAN PHILIPPE SEVERIN</t>
  </si>
  <si>
    <t>DOUO INGRID KATIA</t>
  </si>
  <si>
    <t xml:space="preserve">N'DOKOI TEKI RENAUD </t>
  </si>
  <si>
    <t xml:space="preserve">TOURE ABDOUL AZIZ BANGALY </t>
  </si>
  <si>
    <t>YAO KOUAME AXEL BECANTHY LOIC</t>
  </si>
  <si>
    <t>111010894807</t>
  </si>
  <si>
    <t>111609409984</t>
  </si>
  <si>
    <t>83646525801</t>
  </si>
  <si>
    <t>1561</t>
  </si>
  <si>
    <t>13242000078</t>
  </si>
  <si>
    <t>1297</t>
  </si>
  <si>
    <t>63521102501</t>
  </si>
  <si>
    <t>111778892179</t>
  </si>
  <si>
    <t>111296965192</t>
  </si>
  <si>
    <t>070506602501</t>
  </si>
  <si>
    <t>122377243001</t>
  </si>
  <si>
    <t>149038010011</t>
  </si>
  <si>
    <t>ABROGOUA KOUTOUAN VALENTINE DORINE</t>
  </si>
  <si>
    <t>GNIMASSOU IGNACE ROGATIEN DEADJROGBON</t>
  </si>
  <si>
    <t>NGUESSAN KOUASSI ANGE JANIS</t>
  </si>
  <si>
    <t>NGBESSO ANGODJI JOSIANE ANITA</t>
  </si>
  <si>
    <t>N'GUESSAN KROU RICHMOND</t>
  </si>
  <si>
    <t>KOFFI AHOU MARIE DANIELLE</t>
  </si>
  <si>
    <t xml:space="preserve">NCHO N GBICHI PAUL EMMANUEL </t>
  </si>
  <si>
    <t>N'DOLI AYA ROXANE ANNE ODILON</t>
  </si>
  <si>
    <t>N'GUESSAN AFFOUE EMMA RACHEL Epse TOURE</t>
  </si>
  <si>
    <t>ESPERANCE RUTH AKRE</t>
  </si>
  <si>
    <t>KOUADIO KOUAKOU SERGE ALEXIS</t>
  </si>
  <si>
    <t>KONAN AFFOUE MARIE-LAURECC</t>
  </si>
  <si>
    <t>KOUAKOU YAO PATRICK</t>
  </si>
  <si>
    <t xml:space="preserve">KAYE TIBE NADIA </t>
  </si>
  <si>
    <t>KILA ALIDA ANICETTE</t>
  </si>
  <si>
    <t>KOFFI LENA RUTH</t>
  </si>
  <si>
    <t>KOUASSI EPSE DJEDOU AMOIN NELLY FLORA</t>
  </si>
  <si>
    <t xml:space="preserve">KONAN YAO THIERRY STEPHANIA </t>
  </si>
  <si>
    <t xml:space="preserve">ADOM AHIBLA DOMINIQUE </t>
  </si>
  <si>
    <t>CHAMP CHANEL</t>
  </si>
  <si>
    <t>DORE CHRISTIAN</t>
  </si>
  <si>
    <t>ELLO AUDE MURIEL OLIVIA</t>
  </si>
  <si>
    <t>KONABLE DESCHANEL CHILDERIC</t>
  </si>
  <si>
    <t>KOUADIO KOUDA CYNTHIATL</t>
  </si>
  <si>
    <t xml:space="preserve">KOUAKOU YAO JEAN FIRMIN </t>
  </si>
  <si>
    <t>KOUAME LEATITIA AYA ALEXANDRA</t>
  </si>
  <si>
    <t>SERIPKA OZOUA LORRAINE</t>
  </si>
  <si>
    <t>TCHIMON JAEL</t>
  </si>
  <si>
    <t>142972790019</t>
  </si>
  <si>
    <t>1104</t>
  </si>
  <si>
    <t>10440894405</t>
  </si>
  <si>
    <t>01067</t>
  </si>
  <si>
    <t>900015695540</t>
  </si>
  <si>
    <t>1082</t>
  </si>
  <si>
    <t>900009912470</t>
  </si>
  <si>
    <t>84578424801</t>
  </si>
  <si>
    <t>01007</t>
  </si>
  <si>
    <t>002873430001</t>
  </si>
  <si>
    <t>86465824801</t>
  </si>
  <si>
    <t>CI155</t>
  </si>
  <si>
    <t>BANQUE POPULAIRE</t>
  </si>
  <si>
    <t>37201</t>
  </si>
  <si>
    <t>13376810001</t>
  </si>
  <si>
    <t>1047</t>
  </si>
  <si>
    <t>15299700003</t>
  </si>
  <si>
    <t>Salaire non perçu en raison du Code banque incorrect</t>
  </si>
  <si>
    <t>Nouveau RIB à partager</t>
  </si>
  <si>
    <t>DIAMBRO YANN EMMANUEL</t>
  </si>
  <si>
    <t>AKA EHIA CLAUDE HERMINE</t>
  </si>
  <si>
    <t>BOUARE MAIMOUNA NADEGE</t>
  </si>
  <si>
    <t>KOUADIO MANKOUA AUDE STELLA</t>
  </si>
  <si>
    <t>111445526936</t>
  </si>
  <si>
    <t>111756543971</t>
  </si>
  <si>
    <t>071294902501</t>
  </si>
  <si>
    <t>079553302501</t>
  </si>
  <si>
    <t>008540877731</t>
  </si>
  <si>
    <t>120996945001</t>
  </si>
  <si>
    <t>111995967981</t>
  </si>
  <si>
    <t>SGCI</t>
  </si>
  <si>
    <t>PADONOU MICHAEL MAHUGNON</t>
  </si>
  <si>
    <t>008542409018</t>
  </si>
  <si>
    <t>01754</t>
  </si>
  <si>
    <t>012168980007</t>
  </si>
  <si>
    <t xml:space="preserve">ASSEMIEN JEAN JACQUES </t>
  </si>
  <si>
    <t>AKPOUE KOUASSI HERVE</t>
  </si>
  <si>
    <t>TRAORE JUNIOR MOHAMED</t>
  </si>
  <si>
    <t>GRAH YEYE MICHELE VALERIE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</si>
</sst>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3" formatCode="_-* #,##0.00_-;\-* #,##0.00_-;_-* &quot;-&quot;??_-;_-@_-"/>
    <numFmt numFmtId="164" formatCode="_ * #,##0_)_ ;_ * \(#,##0\)_ ;_ * &quot;-&quot;_)_ ;_ @_ "/>
    <numFmt numFmtId="165" formatCode="_ * #,##0.00_)_ ;_ * \(#,##0.00\)_ ;_ * &quot;-&quot;??_)_ ;_ @_ "/>
    <numFmt numFmtId="166" formatCode="_ * #,##0_)_ ;_ * \(#,##0\)_ ;_ * &quot;-&quot;??_)_ ;_ @_ "/>
  </numFmts>
  <fonts count="8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color rgb="FF000000"/>
      <name val="Calibri"/>
      <family val="2"/>
    </font>
    <font>
      <sz val="12"/>
      <color rgb="FF000000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9">
    <xf numFmtId="0" fontId="0" fillId="0" borderId="0"/>
    <xf numFmtId="165" fontId="2" fillId="0" borderId="0" applyFont="0" applyFill="0" applyBorder="0" applyAlignment="0" applyProtection="0"/>
    <xf numFmtId="0" fontId="5" fillId="0" borderId="0"/>
    <xf numFmtId="164" fontId="2" fillId="0" borderId="0" applyFont="0" applyFill="0" applyBorder="0" applyAlignment="0" applyProtection="0"/>
    <xf numFmtId="0" fontId="7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28">
    <xf numFmtId="0" fontId="0" fillId="0" borderId="0" xfId="0"/>
    <xf numFmtId="0" fontId="0" fillId="2" borderId="0" xfId="0" applyFill="1"/>
    <xf numFmtId="0" fontId="4" fillId="2" borderId="0" xfId="0" applyFont="1" applyFill="1"/>
    <xf numFmtId="0" fontId="0" fillId="0" borderId="1" xfId="0" applyBorder="1"/>
    <xf numFmtId="1" fontId="0" fillId="0" borderId="1" xfId="0" quotePrefix="1" applyNumberFormat="1" applyBorder="1" applyAlignment="1">
      <alignment horizontal="left" vertical="center"/>
    </xf>
    <xf numFmtId="1" fontId="0" fillId="0" borderId="1" xfId="0" quotePrefix="1" applyNumberForma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" fontId="3" fillId="0" borderId="1" xfId="0" quotePrefix="1" applyNumberFormat="1" applyFont="1" applyBorder="1" applyAlignment="1">
      <alignment horizontal="center" vertical="center"/>
    </xf>
    <xf numFmtId="166" fontId="3" fillId="0" borderId="1" xfId="1" applyNumberFormat="1" applyFont="1" applyFill="1" applyBorder="1" applyAlignment="1">
      <alignment horizontal="center" vertical="center"/>
    </xf>
    <xf numFmtId="1" fontId="0" fillId="0" borderId="0" xfId="0" quotePrefix="1" applyNumberFormat="1" applyAlignment="1">
      <alignment horizontal="left" vertical="center"/>
    </xf>
    <xf numFmtId="0" fontId="0" fillId="0" borderId="0" xfId="0" applyAlignment="1">
      <alignment horizontal="center" vertical="center"/>
    </xf>
    <xf numFmtId="166" fontId="0" fillId="0" borderId="0" xfId="1" applyNumberFormat="1" applyFont="1" applyFill="1"/>
    <xf numFmtId="0" fontId="4" fillId="0" borderId="1" xfId="0" applyFont="1" applyBorder="1"/>
    <xf numFmtId="1" fontId="0" fillId="0" borderId="1" xfId="0" applyNumberFormat="1" applyBorder="1" applyAlignment="1">
      <alignment horizontal="center" vertical="center"/>
    </xf>
    <xf numFmtId="166" fontId="0" fillId="0" borderId="0" xfId="0" applyNumberFormat="1"/>
    <xf numFmtId="164" fontId="6" fillId="0" borderId="1" xfId="3" applyFont="1" applyBorder="1"/>
    <xf numFmtId="0" fontId="0" fillId="3" borderId="1" xfId="0" applyFill="1" applyBorder="1"/>
    <xf numFmtId="1" fontId="0" fillId="3" borderId="1" xfId="0" quotePrefix="1" applyNumberFormat="1" applyFill="1" applyBorder="1" applyAlignment="1">
      <alignment horizontal="left" vertical="center"/>
    </xf>
    <xf numFmtId="1" fontId="0" fillId="3" borderId="1" xfId="0" quotePrefix="1" applyNumberFormat="1" applyFill="1" applyBorder="1" applyAlignment="1">
      <alignment horizontal="center" vertical="center"/>
    </xf>
    <xf numFmtId="164" fontId="6" fillId="3" borderId="1" xfId="3" applyFont="1" applyFill="1" applyBorder="1"/>
    <xf numFmtId="0" fontId="0" fillId="0" borderId="1" xfId="0" applyFill="1" applyBorder="1"/>
    <xf numFmtId="1" fontId="0" fillId="0" borderId="1" xfId="0" quotePrefix="1" applyNumberFormat="1" applyFill="1" applyBorder="1" applyAlignment="1">
      <alignment horizontal="left" vertical="center"/>
    </xf>
    <xf numFmtId="1" fontId="0" fillId="0" borderId="1" xfId="0" quotePrefix="1" applyNumberFormat="1" applyFill="1" applyBorder="1" applyAlignment="1">
      <alignment horizontal="center" vertical="center"/>
    </xf>
    <xf numFmtId="0" fontId="4" fillId="3" borderId="1" xfId="0" applyFont="1" applyFill="1" applyBorder="1"/>
    <xf numFmtId="0" fontId="0" fillId="3" borderId="0" xfId="0" applyFill="1"/>
    <xf numFmtId="0" fontId="0" fillId="0" borderId="0" xfId="0" quotePrefix="1" applyAlignment="1">
      <alignment horizontal="center" vertical="center"/>
    </xf>
    <xf numFmtId="0" fontId="6" fillId="0" borderId="2" xfId="4" applyFont="1" applyBorder="1" applyAlignment="1"/>
    <xf numFmtId="165" fontId="0" fillId="0" borderId="0" xfId="1" applyFont="1" applyFill="1"/>
  </cellXfs>
  <cellStyles count="9">
    <cellStyle name="Milliers" xfId="1" builtinId="3"/>
    <cellStyle name="Milliers [0]" xfId="3" builtinId="6"/>
    <cellStyle name="Milliers [0] 2" xfId="6" xr:uid="{B2353418-10B5-454D-AEDA-98649B52A1D4}"/>
    <cellStyle name="Milliers 2" xfId="5" xr:uid="{011190E8-6298-49E3-81E8-C5DA77E1833D}"/>
    <cellStyle name="Milliers 3" xfId="8" xr:uid="{F37BB1E4-6C21-41FC-A8F2-EA7C97166A0E}"/>
    <cellStyle name="Normal" xfId="0" builtinId="0"/>
    <cellStyle name="Normal 2" xfId="4" xr:uid="{EEDF7E80-4DC9-4FC2-8CD5-47671B5C25BC}"/>
    <cellStyle name="Normal 2 3" xfId="2" xr:uid="{00000000-0005-0000-0000-000002000000}"/>
    <cellStyle name="Normal 2 3 2" xfId="7" xr:uid="{D297C96A-AD4B-40A2-BD3B-36DF826EB8A8}"/>
  </cellStyles>
  <dxfs count="8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ncien\BO\bob\GROUPE%20MEDIA%20CONTACT\MCCI\TRAITEMENT\2025\Copie%20de%2008-%20TRAITEMENT%20SALAIRE%20AOUT%202025%20MCCI_EXCEL%20VS%20ZEUS_Vue%20DFCA%20250825%20ok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Liste%20MFS%20MCCI%20Aout%2025%20BZ%202608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écap_Vue RH"/>
      <sheetName val="Livre de paie_OK RH"/>
      <sheetName val="Cotisation CMU"/>
      <sheetName val="Paie James MANGA"/>
      <sheetName val="STAGIAIRE INTERIM &amp; ADMIN_OK RH"/>
      <sheetName val="CRCD RA &amp; EA STAGE_OK RH"/>
      <sheetName val="T.SURFACE_ OK RH"/>
      <sheetName val="Copie de 08- TRAITEMENT SALAIR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OUT 25"/>
    </sheetNames>
    <sheetDataSet>
      <sheetData sheetId="0">
        <row r="43">
          <cell r="C43">
            <v>4434443</v>
          </cell>
        </row>
      </sheetData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CB258-C5A9-4487-B587-5CEC732D521A}">
  <dimension ref="B2:L302"/>
  <sheetViews>
    <sheetView topLeftCell="A285" zoomScale="118" zoomScaleNormal="77" zoomScaleSheetLayoutView="92" workbookViewId="0">
      <selection activeCell="F3" sqref="F3:F302"/>
    </sheetView>
  </sheetViews>
  <sheetFormatPr baseColWidth="10" defaultColWidth="11.19921875" defaultRowHeight="15.6" x14ac:dyDescent="0.3"/>
  <cols>
    <col min="1" max="1" width="3.19921875" customWidth="1"/>
    <col min="2" max="2" width="13.69921875" customWidth="1"/>
    <col min="3" max="3" width="20" customWidth="1"/>
    <col min="4" max="4" width="16.19921875" style="9" customWidth="1"/>
    <col min="5" max="5" width="21.69921875" style="10" customWidth="1"/>
    <col min="6" max="6" width="38.5" customWidth="1"/>
    <col min="7" max="7" width="14.19921875" style="11" customWidth="1"/>
    <col min="8" max="8" width="11.5" bestFit="1" customWidth="1"/>
    <col min="10" max="11" width="11.5" bestFit="1" customWidth="1"/>
  </cols>
  <sheetData>
    <row r="2" spans="2:7" x14ac:dyDescent="0.3">
      <c r="B2" s="6" t="s">
        <v>0</v>
      </c>
      <c r="C2" s="6" t="s">
        <v>1</v>
      </c>
      <c r="D2" s="7" t="s">
        <v>2</v>
      </c>
      <c r="E2" s="6" t="s">
        <v>3</v>
      </c>
      <c r="F2" s="6" t="s">
        <v>4</v>
      </c>
      <c r="G2" s="8" t="s">
        <v>5</v>
      </c>
    </row>
    <row r="3" spans="2:7" x14ac:dyDescent="0.3">
      <c r="B3" s="3" t="s">
        <v>269</v>
      </c>
      <c r="C3" s="3" t="s">
        <v>406</v>
      </c>
      <c r="D3" s="4" t="s">
        <v>421</v>
      </c>
      <c r="E3" s="5" t="s">
        <v>422</v>
      </c>
      <c r="F3" s="3" t="s">
        <v>425</v>
      </c>
      <c r="G3" s="15">
        <f>+VLOOKUP(F3,[1]!Tableau1[[NOM ET PRENOM]:[Salaire NET A PAYER
(Montant Excel)]],25,FALSE)</f>
        <v>250000.198</v>
      </c>
    </row>
    <row r="4" spans="2:7" x14ac:dyDescent="0.3">
      <c r="B4" s="3" t="s">
        <v>58</v>
      </c>
      <c r="C4" s="3" t="s">
        <v>59</v>
      </c>
      <c r="D4" s="4" t="s">
        <v>366</v>
      </c>
      <c r="E4" s="5" t="s">
        <v>367</v>
      </c>
      <c r="F4" s="3" t="s">
        <v>100</v>
      </c>
      <c r="G4" s="15">
        <f>+VLOOKUP(F4,[1]!Tableau1[[NOM ET PRENOM]:[Salaire NET A PAYER
(Montant Excel)]],25,FALSE)</f>
        <v>132112.633</v>
      </c>
    </row>
    <row r="5" spans="2:7" s="1" customFormat="1" x14ac:dyDescent="0.3">
      <c r="B5" s="3" t="s">
        <v>58</v>
      </c>
      <c r="C5" s="3" t="s">
        <v>59</v>
      </c>
      <c r="D5" s="4" t="s">
        <v>366</v>
      </c>
      <c r="E5" s="5" t="s">
        <v>368</v>
      </c>
      <c r="F5" s="3" t="s">
        <v>159</v>
      </c>
      <c r="G5" s="15">
        <f>+VLOOKUP(F5,[1]!Tableau1[[NOM ET PRENOM]:[Salaire NET A PAYER
(Montant Excel)]],25,FALSE)</f>
        <v>134999.96500000003</v>
      </c>
    </row>
    <row r="6" spans="2:7" x14ac:dyDescent="0.3">
      <c r="B6" s="3" t="s">
        <v>19</v>
      </c>
      <c r="C6" s="3" t="s">
        <v>20</v>
      </c>
      <c r="D6" s="4" t="s">
        <v>292</v>
      </c>
      <c r="E6" s="5" t="s">
        <v>71</v>
      </c>
      <c r="F6" s="3" t="s">
        <v>28</v>
      </c>
      <c r="G6" s="15">
        <f>+VLOOKUP(F6,[1]!Tableau1[[NOM ET PRENOM]:[Salaire NET A PAYER
(Montant Excel)]],25,FALSE)</f>
        <v>218594.68672</v>
      </c>
    </row>
    <row r="7" spans="2:7" x14ac:dyDescent="0.3">
      <c r="B7" s="3" t="s">
        <v>19</v>
      </c>
      <c r="C7" s="3" t="s">
        <v>20</v>
      </c>
      <c r="D7" s="4" t="s">
        <v>292</v>
      </c>
      <c r="E7" s="5" t="s">
        <v>102</v>
      </c>
      <c r="F7" s="3" t="s">
        <v>97</v>
      </c>
      <c r="G7" s="15">
        <f>+VLOOKUP(F7,[1]!Tableau1[[NOM ET PRENOM]:[Salaire NET A PAYER
(Montant Excel)]],25,FALSE)</f>
        <v>709828.72399999993</v>
      </c>
    </row>
    <row r="8" spans="2:7" x14ac:dyDescent="0.3">
      <c r="B8" s="3" t="s">
        <v>19</v>
      </c>
      <c r="C8" s="3" t="s">
        <v>20</v>
      </c>
      <c r="D8" s="4" t="s">
        <v>291</v>
      </c>
      <c r="E8" s="5" t="s">
        <v>85</v>
      </c>
      <c r="F8" s="3" t="s">
        <v>48</v>
      </c>
      <c r="G8" s="15">
        <f>+VLOOKUP(F8,[1]!Tableau1[[NOM ET PRENOM]:[Salaire NET A PAYER
(Montant Excel)]],25,FALSE)</f>
        <v>717157.48499999999</v>
      </c>
    </row>
    <row r="9" spans="2:7" x14ac:dyDescent="0.3">
      <c r="B9" s="3" t="s">
        <v>19</v>
      </c>
      <c r="C9" s="3" t="s">
        <v>20</v>
      </c>
      <c r="D9" s="4" t="s">
        <v>292</v>
      </c>
      <c r="E9" s="5" t="s">
        <v>158</v>
      </c>
      <c r="F9" s="3" t="s">
        <v>148</v>
      </c>
      <c r="G9" s="15">
        <f>+VLOOKUP(F9,[1]!Tableau1[[NOM ET PRENOM]:[Salaire NET A PAYER
(Montant Excel)]],25,FALSE)</f>
        <v>381050.397</v>
      </c>
    </row>
    <row r="10" spans="2:7" x14ac:dyDescent="0.3">
      <c r="B10" s="3" t="s">
        <v>19</v>
      </c>
      <c r="C10" s="3" t="s">
        <v>20</v>
      </c>
      <c r="D10" s="4" t="s">
        <v>113</v>
      </c>
      <c r="E10" s="5" t="s">
        <v>114</v>
      </c>
      <c r="F10" s="3" t="s">
        <v>702</v>
      </c>
      <c r="G10" s="15">
        <f>+VLOOKUP(F10,[1]!Tableau1[[NOM ET PRENOM]:[Salaire NET A PAYER
(Montant Excel)]],25,FALSE)</f>
        <v>249000.20600000001</v>
      </c>
    </row>
    <row r="11" spans="2:7" x14ac:dyDescent="0.3">
      <c r="B11" s="3" t="s">
        <v>19</v>
      </c>
      <c r="C11" s="3" t="s">
        <v>20</v>
      </c>
      <c r="D11" s="4" t="s">
        <v>292</v>
      </c>
      <c r="E11" s="5" t="s">
        <v>293</v>
      </c>
      <c r="F11" s="3" t="s">
        <v>162</v>
      </c>
      <c r="G11" s="15">
        <f>+VLOOKUP(F11,[1]!Tableau1[[NOM ET PRENOM]:[Salaire NET A PAYER
(Montant Excel)]],25,FALSE)</f>
        <v>250000.198</v>
      </c>
    </row>
    <row r="12" spans="2:7" x14ac:dyDescent="0.3">
      <c r="B12" s="3" t="s">
        <v>19</v>
      </c>
      <c r="C12" s="3" t="s">
        <v>20</v>
      </c>
      <c r="D12" s="4" t="s">
        <v>292</v>
      </c>
      <c r="E12" s="5" t="s">
        <v>75</v>
      </c>
      <c r="F12" s="3" t="s">
        <v>24</v>
      </c>
      <c r="G12" s="15">
        <f>+VLOOKUP(F12,[1]!Tableau1[[NOM ET PRENOM]:[Salaire NET A PAYER
(Montant Excel)]],25,FALSE)</f>
        <v>352949.94099999999</v>
      </c>
    </row>
    <row r="13" spans="2:7" x14ac:dyDescent="0.3">
      <c r="B13" s="3" t="s">
        <v>19</v>
      </c>
      <c r="C13" s="3" t="s">
        <v>20</v>
      </c>
      <c r="D13" s="4" t="s">
        <v>294</v>
      </c>
      <c r="E13" s="5" t="s">
        <v>93</v>
      </c>
      <c r="F13" s="3" t="s">
        <v>138</v>
      </c>
      <c r="G13" s="15">
        <f>+VLOOKUP(F13,[1]!Tableau1[[NOM ET PRENOM]:[Salaire NET A PAYER
(Montant Excel)]],25,FALSE)</f>
        <v>223985</v>
      </c>
    </row>
    <row r="14" spans="2:7" s="1" customFormat="1" x14ac:dyDescent="0.3">
      <c r="B14" s="3" t="s">
        <v>19</v>
      </c>
      <c r="C14" s="3" t="s">
        <v>20</v>
      </c>
      <c r="D14" s="4" t="s">
        <v>292</v>
      </c>
      <c r="E14" s="5" t="s">
        <v>77</v>
      </c>
      <c r="F14" s="3" t="s">
        <v>29</v>
      </c>
      <c r="G14" s="15">
        <f>+VLOOKUP(F14,[1]!Tableau1[[NOM ET PRENOM]:[Salaire NET A PAYER
(Montant Excel)]],25,FALSE)</f>
        <v>479143.44400000002</v>
      </c>
    </row>
    <row r="15" spans="2:7" x14ac:dyDescent="0.3">
      <c r="B15" s="3" t="s">
        <v>19</v>
      </c>
      <c r="C15" s="3" t="s">
        <v>20</v>
      </c>
      <c r="D15" s="4" t="s">
        <v>295</v>
      </c>
      <c r="E15" s="5" t="s">
        <v>81</v>
      </c>
      <c r="F15" s="3" t="s">
        <v>69</v>
      </c>
      <c r="G15" s="15">
        <f>+VLOOKUP(F15,[1]!Tableau1[[NOM ET PRENOM]:[Salaire NET A PAYER
(Montant Excel)]],25,FALSE)</f>
        <v>260500.198</v>
      </c>
    </row>
    <row r="16" spans="2:7" x14ac:dyDescent="0.3">
      <c r="B16" s="3" t="s">
        <v>19</v>
      </c>
      <c r="C16" s="3" t="s">
        <v>20</v>
      </c>
      <c r="D16" s="4" t="s">
        <v>292</v>
      </c>
      <c r="E16" s="5" t="s">
        <v>296</v>
      </c>
      <c r="F16" s="3" t="s">
        <v>163</v>
      </c>
      <c r="G16" s="15">
        <f>+VLOOKUP(F16,[1]!Tableau1[[NOM ET PRENOM]:[Salaire NET A PAYER
(Montant Excel)]],25,FALSE)</f>
        <v>249500.076</v>
      </c>
    </row>
    <row r="17" spans="2:7" x14ac:dyDescent="0.3">
      <c r="B17" s="3" t="s">
        <v>19</v>
      </c>
      <c r="C17" s="3" t="s">
        <v>20</v>
      </c>
      <c r="D17" s="4" t="s">
        <v>292</v>
      </c>
      <c r="E17" s="5" t="s">
        <v>82</v>
      </c>
      <c r="F17" s="3" t="s">
        <v>42</v>
      </c>
      <c r="G17" s="15">
        <f>+VLOOKUP(F17,[1]!Tableau1[[NOM ET PRENOM]:[Salaire NET A PAYER
(Montant Excel)]],25,FALSE)</f>
        <v>250000.198</v>
      </c>
    </row>
    <row r="18" spans="2:7" x14ac:dyDescent="0.3">
      <c r="B18" s="3" t="s">
        <v>19</v>
      </c>
      <c r="C18" s="3" t="s">
        <v>20</v>
      </c>
      <c r="D18" s="4" t="s">
        <v>292</v>
      </c>
      <c r="E18" s="5" t="s">
        <v>78</v>
      </c>
      <c r="F18" s="3" t="s">
        <v>160</v>
      </c>
      <c r="G18" s="15">
        <f>+VLOOKUP(F18,[1]!Tableau1[[NOM ET PRENOM]:[Salaire NET A PAYER
(Montant Excel)]],25,FALSE)</f>
        <v>349500.38</v>
      </c>
    </row>
    <row r="19" spans="2:7" x14ac:dyDescent="0.3">
      <c r="B19" s="3" t="s">
        <v>19</v>
      </c>
      <c r="C19" s="3" t="s">
        <v>20</v>
      </c>
      <c r="D19" s="4" t="s">
        <v>83</v>
      </c>
      <c r="E19" s="5" t="s">
        <v>84</v>
      </c>
      <c r="F19" s="3" t="s">
        <v>46</v>
      </c>
      <c r="G19" s="15">
        <f>+VLOOKUP(F19,[1]!Tableau1[[NOM ET PRENOM]:[Salaire NET A PAYER
(Montant Excel)]],25,FALSE)</f>
        <v>709221.78099999996</v>
      </c>
    </row>
    <row r="20" spans="2:7" x14ac:dyDescent="0.3">
      <c r="B20" s="3" t="s">
        <v>19</v>
      </c>
      <c r="C20" s="3" t="s">
        <v>20</v>
      </c>
      <c r="D20" s="4" t="s">
        <v>292</v>
      </c>
      <c r="E20" s="5" t="s">
        <v>86</v>
      </c>
      <c r="F20" s="3" t="s">
        <v>49</v>
      </c>
      <c r="G20" s="15">
        <f>+VLOOKUP(F20,[1]!Tableau1[[NOM ET PRENOM]:[Salaire NET A PAYER
(Montant Excel)]],25,FALSE)</f>
        <v>250690.96299999999</v>
      </c>
    </row>
    <row r="21" spans="2:7" x14ac:dyDescent="0.3">
      <c r="B21" s="3" t="s">
        <v>19</v>
      </c>
      <c r="C21" s="3" t="s">
        <v>20</v>
      </c>
      <c r="D21" s="4" t="s">
        <v>292</v>
      </c>
      <c r="E21" s="5" t="s">
        <v>87</v>
      </c>
      <c r="F21" s="3" t="s">
        <v>50</v>
      </c>
      <c r="G21" s="15">
        <f>+VLOOKUP(F21,[1]!Tableau1[[NOM ET PRENOM]:[Salaire NET A PAYER
(Montant Excel)]],25,FALSE)</f>
        <v>206238.42572</v>
      </c>
    </row>
    <row r="22" spans="2:7" s="24" customFormat="1" x14ac:dyDescent="0.3">
      <c r="B22" s="16" t="s">
        <v>19</v>
      </c>
      <c r="C22" s="16" t="s">
        <v>20</v>
      </c>
      <c r="D22" s="17" t="s">
        <v>298</v>
      </c>
      <c r="E22" s="18" t="s">
        <v>88</v>
      </c>
      <c r="F22" s="16" t="s">
        <v>51</v>
      </c>
      <c r="G22" s="19" t="e">
        <f>+VLOOKUP(F22,[1]!Tableau1[[NOM ET PRENOM]:[Salaire NET A PAYER
(Montant Excel)]],25,FALSE)</f>
        <v>#N/A</v>
      </c>
    </row>
    <row r="23" spans="2:7" x14ac:dyDescent="0.3">
      <c r="B23" s="3" t="s">
        <v>6</v>
      </c>
      <c r="C23" s="3" t="s">
        <v>20</v>
      </c>
      <c r="D23" s="4" t="s">
        <v>292</v>
      </c>
      <c r="E23" s="5" t="s">
        <v>121</v>
      </c>
      <c r="F23" s="3" t="s">
        <v>164</v>
      </c>
      <c r="G23" s="15">
        <f>+VLOOKUP(F23,[1]!Tableau1[[NOM ET PRENOM]:[Salaire NET A PAYER
(Montant Excel)]],25,FALSE)</f>
        <v>134999.96500000003</v>
      </c>
    </row>
    <row r="24" spans="2:7" x14ac:dyDescent="0.3">
      <c r="B24" s="3" t="s">
        <v>19</v>
      </c>
      <c r="C24" s="3" t="s">
        <v>20</v>
      </c>
      <c r="D24" s="4" t="s">
        <v>292</v>
      </c>
      <c r="E24" s="5" t="s">
        <v>299</v>
      </c>
      <c r="F24" s="3" t="s">
        <v>277</v>
      </c>
      <c r="G24" s="15">
        <f>+VLOOKUP(F24,[1]!Tableau1[[NOM ET PRENOM]:[Salaire NET A PAYER
(Montant Excel)]],25,FALSE)</f>
        <v>349500.38</v>
      </c>
    </row>
    <row r="25" spans="2:7" x14ac:dyDescent="0.3">
      <c r="B25" s="3" t="s">
        <v>19</v>
      </c>
      <c r="C25" s="3" t="s">
        <v>20</v>
      </c>
      <c r="D25" s="4" t="s">
        <v>292</v>
      </c>
      <c r="E25" s="5" t="s">
        <v>91</v>
      </c>
      <c r="F25" s="3" t="s">
        <v>161</v>
      </c>
      <c r="G25" s="15">
        <f>+VLOOKUP(F25,[1]!Tableau1[[NOM ET PRENOM]:[Salaire NET A PAYER
(Montant Excel)]],25,FALSE)</f>
        <v>261190.96299999999</v>
      </c>
    </row>
    <row r="26" spans="2:7" x14ac:dyDescent="0.3">
      <c r="B26" s="3" t="s">
        <v>19</v>
      </c>
      <c r="C26" s="3" t="s">
        <v>20</v>
      </c>
      <c r="D26" s="4" t="s">
        <v>297</v>
      </c>
      <c r="E26" s="5" t="s">
        <v>165</v>
      </c>
      <c r="F26" s="3" t="s">
        <v>142</v>
      </c>
      <c r="G26" s="15">
        <f>+VLOOKUP(F26,[1]!Tableau1[[NOM ET PRENOM]:[Salaire NET A PAYER
(Montant Excel)]],25,FALSE)</f>
        <v>266190.96299999999</v>
      </c>
    </row>
    <row r="27" spans="2:7" x14ac:dyDescent="0.3">
      <c r="B27" s="3" t="s">
        <v>19</v>
      </c>
      <c r="C27" s="3" t="s">
        <v>20</v>
      </c>
      <c r="D27" s="4" t="s">
        <v>292</v>
      </c>
      <c r="E27" s="5" t="s">
        <v>149</v>
      </c>
      <c r="F27" s="3" t="s">
        <v>167</v>
      </c>
      <c r="G27" s="15">
        <f>+VLOOKUP(F27,[1]!Tableau1[[NOM ET PRENOM]:[Salaire NET A PAYER
(Montant Excel)]],25,FALSE)</f>
        <v>250000.31299999999</v>
      </c>
    </row>
    <row r="28" spans="2:7" s="1" customFormat="1" x14ac:dyDescent="0.3">
      <c r="B28" s="3" t="s">
        <v>19</v>
      </c>
      <c r="C28" s="3" t="s">
        <v>20</v>
      </c>
      <c r="D28" s="4" t="s">
        <v>229</v>
      </c>
      <c r="E28" s="5" t="s">
        <v>230</v>
      </c>
      <c r="F28" s="3" t="s">
        <v>206</v>
      </c>
      <c r="G28" s="15">
        <f>+VLOOKUP(F28,[1]!Tableau1[[NOM ET PRENOM]:[Salaire NET A PAYER
(Montant Excel)]],25,FALSE)</f>
        <v>250000.198</v>
      </c>
    </row>
    <row r="29" spans="2:7" x14ac:dyDescent="0.3">
      <c r="B29" s="3" t="s">
        <v>19</v>
      </c>
      <c r="C29" s="3" t="s">
        <v>20</v>
      </c>
      <c r="D29" s="4" t="s">
        <v>300</v>
      </c>
      <c r="E29" s="5" t="s">
        <v>140</v>
      </c>
      <c r="F29" s="3" t="s">
        <v>168</v>
      </c>
      <c r="G29" s="15">
        <f>+VLOOKUP(F29,[1]!Tableau1[[NOM ET PRENOM]:[Salaire NET A PAYER
(Montant Excel)]],25,FALSE)</f>
        <v>250000.31299999999</v>
      </c>
    </row>
    <row r="30" spans="2:7" x14ac:dyDescent="0.3">
      <c r="B30" s="3" t="s">
        <v>19</v>
      </c>
      <c r="C30" s="3" t="s">
        <v>20</v>
      </c>
      <c r="D30" s="4" t="s">
        <v>292</v>
      </c>
      <c r="E30" s="5" t="s">
        <v>155</v>
      </c>
      <c r="F30" s="3" t="s">
        <v>247</v>
      </c>
      <c r="G30" s="15">
        <f>+VLOOKUP(F30,[1]!Tableau1[[NOM ET PRENOM]:[Salaire NET A PAYER
(Montant Excel)]],25,FALSE)</f>
        <v>249000.20600000001</v>
      </c>
    </row>
    <row r="31" spans="2:7" s="2" customFormat="1" x14ac:dyDescent="0.3">
      <c r="B31" s="3" t="s">
        <v>19</v>
      </c>
      <c r="C31" s="3" t="s">
        <v>20</v>
      </c>
      <c r="D31" s="4" t="s">
        <v>292</v>
      </c>
      <c r="E31" s="5" t="s">
        <v>73</v>
      </c>
      <c r="F31" s="3" t="s">
        <v>67</v>
      </c>
      <c r="G31" s="15">
        <f>+VLOOKUP(F31,[1]!Tableau1[[NOM ET PRENOM]:[Salaire NET A PAYER
(Montant Excel)]],25,FALSE)</f>
        <v>150000.0000000002</v>
      </c>
    </row>
    <row r="32" spans="2:7" x14ac:dyDescent="0.3">
      <c r="B32" s="3" t="s">
        <v>19</v>
      </c>
      <c r="C32" s="3" t="s">
        <v>20</v>
      </c>
      <c r="D32" s="4" t="s">
        <v>292</v>
      </c>
      <c r="E32" s="5" t="s">
        <v>301</v>
      </c>
      <c r="F32" s="3" t="s">
        <v>166</v>
      </c>
      <c r="G32" s="15">
        <f>+VLOOKUP(F32,[1]!Tableau1[[NOM ET PRENOM]:[Salaire NET A PAYER
(Montant Excel)]],25,FALSE)</f>
        <v>251880.28701999999</v>
      </c>
    </row>
    <row r="33" spans="2:7" s="1" customFormat="1" x14ac:dyDescent="0.3">
      <c r="B33" s="3" t="s">
        <v>19</v>
      </c>
      <c r="C33" s="3" t="s">
        <v>20</v>
      </c>
      <c r="D33" s="4" t="s">
        <v>292</v>
      </c>
      <c r="E33" s="5" t="s">
        <v>92</v>
      </c>
      <c r="F33" s="3" t="s">
        <v>54</v>
      </c>
      <c r="G33" s="15">
        <f>+VLOOKUP(F33,[1]!Tableau1[[NOM ET PRENOM]:[Salaire NET A PAYER
(Montant Excel)]],25,FALSE)</f>
        <v>199999.61300000001</v>
      </c>
    </row>
    <row r="34" spans="2:7" x14ac:dyDescent="0.3">
      <c r="B34" s="3" t="s">
        <v>19</v>
      </c>
      <c r="C34" s="3" t="s">
        <v>20</v>
      </c>
      <c r="D34" s="4" t="s">
        <v>292</v>
      </c>
      <c r="E34" s="5" t="s">
        <v>302</v>
      </c>
      <c r="F34" s="3" t="s">
        <v>169</v>
      </c>
      <c r="G34" s="15">
        <f>+VLOOKUP(F34,[1]!Tableau1[[NOM ET PRENOM]:[Salaire NET A PAYER
(Montant Excel)]],25,FALSE)</f>
        <v>348999.82900000003</v>
      </c>
    </row>
    <row r="35" spans="2:7" x14ac:dyDescent="0.3">
      <c r="B35" s="3" t="s">
        <v>6</v>
      </c>
      <c r="C35" s="3" t="s">
        <v>20</v>
      </c>
      <c r="D35" s="4" t="s">
        <v>292</v>
      </c>
      <c r="E35" s="5" t="s">
        <v>122</v>
      </c>
      <c r="F35" s="3" t="s">
        <v>170</v>
      </c>
      <c r="G35" s="15">
        <f>+VLOOKUP(F35,[1]!Tableau1[[NOM ET PRENOM]:[Salaire NET A PAYER
(Montant Excel)]],25,FALSE)</f>
        <v>100000.00000000001</v>
      </c>
    </row>
    <row r="36" spans="2:7" x14ac:dyDescent="0.3">
      <c r="B36" s="3" t="s">
        <v>19</v>
      </c>
      <c r="C36" s="3" t="s">
        <v>20</v>
      </c>
      <c r="D36" s="4" t="s">
        <v>383</v>
      </c>
      <c r="E36" s="5" t="s">
        <v>405</v>
      </c>
      <c r="F36" s="3" t="s">
        <v>423</v>
      </c>
      <c r="G36" s="15">
        <f>+VLOOKUP(F36,[1]!Tableau1[[NOM ET PRENOM]:[Salaire NET A PAYER
(Montant Excel)]],25,FALSE)</f>
        <v>249500.076</v>
      </c>
    </row>
    <row r="37" spans="2:7" x14ac:dyDescent="0.3">
      <c r="B37" s="3" t="s">
        <v>25</v>
      </c>
      <c r="C37" s="3" t="s">
        <v>26</v>
      </c>
      <c r="D37" s="4" t="s">
        <v>379</v>
      </c>
      <c r="E37" s="5" t="s">
        <v>380</v>
      </c>
      <c r="F37" s="3" t="s">
        <v>134</v>
      </c>
      <c r="G37" s="15">
        <f>+VLOOKUP(F37,[1]!Tableau1[[NOM ET PRENOM]:[Salaire NET A PAYER
(Montant Excel)]],25,FALSE)</f>
        <v>126811.34600000001</v>
      </c>
    </row>
    <row r="38" spans="2:7" x14ac:dyDescent="0.3">
      <c r="B38" s="3" t="s">
        <v>25</v>
      </c>
      <c r="C38" s="3" t="s">
        <v>26</v>
      </c>
      <c r="D38" s="4" t="s">
        <v>369</v>
      </c>
      <c r="E38" s="5" t="s">
        <v>370</v>
      </c>
      <c r="F38" s="3" t="s">
        <v>103</v>
      </c>
      <c r="G38" s="15">
        <f>+VLOOKUP(F38,[1]!Tableau1[[NOM ET PRENOM]:[Salaire NET A PAYER
(Montant Excel)]],25,FALSE)</f>
        <v>270188.97656999994</v>
      </c>
    </row>
    <row r="39" spans="2:7" x14ac:dyDescent="0.3">
      <c r="B39" s="3" t="s">
        <v>25</v>
      </c>
      <c r="C39" s="3" t="s">
        <v>26</v>
      </c>
      <c r="D39" s="4" t="s">
        <v>371</v>
      </c>
      <c r="E39" s="5" t="s">
        <v>372</v>
      </c>
      <c r="F39" s="3" t="s">
        <v>248</v>
      </c>
      <c r="G39" s="15">
        <f>+VLOOKUP(F39,[1]!Tableau1[[NOM ET PRENOM]:[Salaire NET A PAYER
(Montant Excel)]],25,FALSE)</f>
        <v>344502.48102000001</v>
      </c>
    </row>
    <row r="40" spans="2:7" x14ac:dyDescent="0.3">
      <c r="B40" s="3" t="s">
        <v>25</v>
      </c>
      <c r="C40" s="3" t="s">
        <v>26</v>
      </c>
      <c r="D40" s="4" t="s">
        <v>373</v>
      </c>
      <c r="E40" s="5" t="s">
        <v>374</v>
      </c>
      <c r="F40" s="3" t="s">
        <v>35</v>
      </c>
      <c r="G40" s="15">
        <f>+VLOOKUP(F40,[1]!Tableau1[[NOM ET PRENOM]:[Salaire NET A PAYER
(Montant Excel)]],25,FALSE)</f>
        <v>266190.96299999999</v>
      </c>
    </row>
    <row r="41" spans="2:7" x14ac:dyDescent="0.3">
      <c r="B41" s="3" t="s">
        <v>25</v>
      </c>
      <c r="C41" s="3" t="s">
        <v>26</v>
      </c>
      <c r="D41" s="4" t="s">
        <v>375</v>
      </c>
      <c r="E41" s="5" t="s">
        <v>376</v>
      </c>
      <c r="F41" s="3" t="s">
        <v>756</v>
      </c>
      <c r="G41" s="15">
        <f>+VLOOKUP(F41,[1]!Tableau1[[NOM ET PRENOM]:[Salaire NET A PAYER
(Montant Excel)]],25,FALSE)</f>
        <v>249000.321</v>
      </c>
    </row>
    <row r="42" spans="2:7" x14ac:dyDescent="0.3">
      <c r="B42" s="3" t="s">
        <v>25</v>
      </c>
      <c r="C42" s="3" t="s">
        <v>26</v>
      </c>
      <c r="D42" s="4" t="s">
        <v>383</v>
      </c>
      <c r="E42" s="5" t="s">
        <v>384</v>
      </c>
      <c r="F42" s="3" t="s">
        <v>53</v>
      </c>
      <c r="G42" s="15">
        <f>+VLOOKUP(F42,[1]!Tableau1[[NOM ET PRENOM]:[Salaire NET A PAYER
(Montant Excel)]],25,FALSE)</f>
        <v>345134.46100000001</v>
      </c>
    </row>
    <row r="43" spans="2:7" x14ac:dyDescent="0.3">
      <c r="B43" s="3" t="s">
        <v>6</v>
      </c>
      <c r="C43" s="3" t="s">
        <v>7</v>
      </c>
      <c r="D43" s="4" t="s">
        <v>292</v>
      </c>
      <c r="E43" s="5" t="s">
        <v>243</v>
      </c>
      <c r="F43" s="3" t="s">
        <v>249</v>
      </c>
      <c r="G43" s="15">
        <f>+VLOOKUP(F43,[1]!Tableau1[[NOM ET PRENOM]:[Salaire NET A PAYER
(Montant Excel)]],25,FALSE)</f>
        <v>133074.55900000001</v>
      </c>
    </row>
    <row r="44" spans="2:7" x14ac:dyDescent="0.3">
      <c r="B44" s="3" t="s">
        <v>6</v>
      </c>
      <c r="C44" s="3" t="s">
        <v>7</v>
      </c>
      <c r="D44" s="4" t="s">
        <v>292</v>
      </c>
      <c r="E44" s="5" t="s">
        <v>226</v>
      </c>
      <c r="F44" s="3" t="s">
        <v>202</v>
      </c>
      <c r="G44" s="15">
        <f>+VLOOKUP(F44,[1]!Tableau1[[NOM ET PRENOM]:[Salaire NET A PAYER
(Montant Excel)]],25,FALSE)</f>
        <v>128034.93700000001</v>
      </c>
    </row>
    <row r="45" spans="2:7" x14ac:dyDescent="0.3">
      <c r="B45" s="3" t="s">
        <v>6</v>
      </c>
      <c r="C45" s="3" t="s">
        <v>7</v>
      </c>
      <c r="D45" s="4" t="s">
        <v>292</v>
      </c>
      <c r="E45" s="5" t="s">
        <v>233</v>
      </c>
      <c r="F45" s="3" t="s">
        <v>250</v>
      </c>
      <c r="G45" s="15">
        <f>+VLOOKUP(F45,[1]!Tableau1[[NOM ET PRENOM]:[Salaire NET A PAYER
(Montant Excel)]],25,FALSE)</f>
        <v>96694.601129129136</v>
      </c>
    </row>
    <row r="46" spans="2:7" x14ac:dyDescent="0.3">
      <c r="B46" s="3" t="s">
        <v>246</v>
      </c>
      <c r="C46" s="3" t="s">
        <v>7</v>
      </c>
      <c r="D46" s="4" t="s">
        <v>292</v>
      </c>
      <c r="E46" s="5" t="s">
        <v>236</v>
      </c>
      <c r="F46" s="3" t="s">
        <v>209</v>
      </c>
      <c r="G46" s="15">
        <f>+VLOOKUP(F46,[1]!Tableau1[[NOM ET PRENOM]:[Salaire NET A PAYER
(Montant Excel)]],25,FALSE)</f>
        <v>133074.55900000001</v>
      </c>
    </row>
    <row r="47" spans="2:7" s="1" customFormat="1" x14ac:dyDescent="0.3">
      <c r="B47" s="3" t="s">
        <v>6</v>
      </c>
      <c r="C47" s="3" t="s">
        <v>7</v>
      </c>
      <c r="D47" s="4" t="s">
        <v>292</v>
      </c>
      <c r="E47" s="5" t="s">
        <v>290</v>
      </c>
      <c r="F47" s="3" t="s">
        <v>289</v>
      </c>
      <c r="G47" s="15">
        <f>+VLOOKUP(F47,[1]!Tableau1[[NOM ET PRENOM]:[Salaire NET A PAYER
(Montant Excel)]],25,FALSE)</f>
        <v>202002.81224</v>
      </c>
    </row>
    <row r="48" spans="2:7" s="1" customFormat="1" x14ac:dyDescent="0.3">
      <c r="B48" s="3" t="s">
        <v>6</v>
      </c>
      <c r="C48" s="3" t="s">
        <v>7</v>
      </c>
      <c r="D48" s="4" t="s">
        <v>292</v>
      </c>
      <c r="E48" s="5" t="s">
        <v>109</v>
      </c>
      <c r="F48" s="3" t="s">
        <v>106</v>
      </c>
      <c r="G48" s="15">
        <f>+VLOOKUP(F48,[1]!Tableau1[[NOM ET PRENOM]:[Salaire NET A PAYER
(Montant Excel)]],25,FALSE)</f>
        <v>134999.96500000003</v>
      </c>
    </row>
    <row r="49" spans="2:7" s="1" customFormat="1" x14ac:dyDescent="0.3">
      <c r="B49" s="3" t="s">
        <v>6</v>
      </c>
      <c r="C49" s="3" t="s">
        <v>7</v>
      </c>
      <c r="D49" s="4" t="s">
        <v>292</v>
      </c>
      <c r="E49" s="5" t="s">
        <v>216</v>
      </c>
      <c r="F49" s="3" t="s">
        <v>251</v>
      </c>
      <c r="G49" s="15">
        <f>+VLOOKUP(F49,[1]!Tableau1[[NOM ET PRENOM]:[Salaire NET A PAYER
(Montant Excel)]],25,FALSE)</f>
        <v>119599.73466666667</v>
      </c>
    </row>
    <row r="50" spans="2:7" s="1" customFormat="1" x14ac:dyDescent="0.3">
      <c r="B50" s="3" t="s">
        <v>6</v>
      </c>
      <c r="C50" s="3" t="s">
        <v>7</v>
      </c>
      <c r="D50" s="4" t="s">
        <v>292</v>
      </c>
      <c r="E50" s="5" t="s">
        <v>217</v>
      </c>
      <c r="F50" s="3" t="s">
        <v>252</v>
      </c>
      <c r="G50" s="15">
        <f>+VLOOKUP(F50,[1]!Tableau1[[NOM ET PRENOM]:[Salaire NET A PAYER
(Montant Excel)]],25,FALSE)</f>
        <v>121969.94933333334</v>
      </c>
    </row>
    <row r="51" spans="2:7" x14ac:dyDescent="0.3">
      <c r="B51" s="3" t="s">
        <v>6</v>
      </c>
      <c r="C51" s="3" t="s">
        <v>7</v>
      </c>
      <c r="D51" s="4" t="s">
        <v>292</v>
      </c>
      <c r="E51" s="5" t="s">
        <v>235</v>
      </c>
      <c r="F51" s="3" t="s">
        <v>208</v>
      </c>
      <c r="G51" s="15">
        <f>+VLOOKUP(F51,[1]!Tableau1[[NOM ET PRENOM]:[Salaire NET A PAYER
(Montant Excel)]],25,FALSE)</f>
        <v>128550.36233333334</v>
      </c>
    </row>
    <row r="52" spans="2:7" s="1" customFormat="1" x14ac:dyDescent="0.3">
      <c r="B52" s="3" t="s">
        <v>6</v>
      </c>
      <c r="C52" s="3" t="s">
        <v>7</v>
      </c>
      <c r="D52" s="4" t="s">
        <v>292</v>
      </c>
      <c r="E52" s="5" t="s">
        <v>276</v>
      </c>
      <c r="F52" s="3" t="s">
        <v>272</v>
      </c>
      <c r="G52" s="15">
        <f>+VLOOKUP(F52,[1]!Tableau1[[NOM ET PRENOM]:[Salaire NET A PAYER
(Montant Excel)]],25,FALSE)</f>
        <v>111224.81633333334</v>
      </c>
    </row>
    <row r="53" spans="2:7" x14ac:dyDescent="0.3">
      <c r="B53" s="3" t="s">
        <v>6</v>
      </c>
      <c r="C53" s="3" t="s">
        <v>7</v>
      </c>
      <c r="D53" s="4" t="s">
        <v>292</v>
      </c>
      <c r="E53" s="5" t="s">
        <v>110</v>
      </c>
      <c r="F53" s="3" t="s">
        <v>105</v>
      </c>
      <c r="G53" s="15">
        <f>+VLOOKUP(F53,[1]!Tableau1[[NOM ET PRENOM]:[Salaire NET A PAYER
(Montant Excel)]],25,FALSE)</f>
        <v>133074.55900000001</v>
      </c>
    </row>
    <row r="54" spans="2:7" x14ac:dyDescent="0.3">
      <c r="B54" s="3" t="s">
        <v>6</v>
      </c>
      <c r="C54" s="3" t="s">
        <v>7</v>
      </c>
      <c r="D54" s="4" t="s">
        <v>292</v>
      </c>
      <c r="E54" s="5" t="s">
        <v>228</v>
      </c>
      <c r="F54" s="3" t="s">
        <v>205</v>
      </c>
      <c r="G54" s="15">
        <f>+VLOOKUP(F54,[1]!Tableau1[[NOM ET PRENOM]:[Salaire NET A PAYER
(Montant Excel)]],25,FALSE)</f>
        <v>123509.96333333333</v>
      </c>
    </row>
    <row r="55" spans="2:7" x14ac:dyDescent="0.3">
      <c r="B55" s="3" t="s">
        <v>6</v>
      </c>
      <c r="C55" s="3" t="s">
        <v>7</v>
      </c>
      <c r="D55" s="4" t="s">
        <v>292</v>
      </c>
      <c r="E55" s="5" t="s">
        <v>245</v>
      </c>
      <c r="F55" s="3" t="s">
        <v>214</v>
      </c>
      <c r="G55" s="15">
        <f>+VLOOKUP(F55,[1]!Tableau1[[NOM ET PRENOM]:[Salaire NET A PAYER
(Montant Excel)]],25,FALSE)</f>
        <v>134999.96500000003</v>
      </c>
    </row>
    <row r="56" spans="2:7" x14ac:dyDescent="0.3">
      <c r="B56" s="3" t="s">
        <v>6</v>
      </c>
      <c r="C56" s="3" t="s">
        <v>7</v>
      </c>
      <c r="D56" s="4" t="s">
        <v>292</v>
      </c>
      <c r="E56" s="5" t="s">
        <v>108</v>
      </c>
      <c r="F56" s="3" t="s">
        <v>104</v>
      </c>
      <c r="G56" s="15">
        <f>+VLOOKUP(F56,[1]!Tableau1[[NOM ET PRENOM]:[Salaire NET A PAYER
(Montant Excel)]],25,FALSE)</f>
        <v>134999.96500000003</v>
      </c>
    </row>
    <row r="57" spans="2:7" x14ac:dyDescent="0.3">
      <c r="B57" s="3" t="s">
        <v>6</v>
      </c>
      <c r="C57" s="3" t="s">
        <v>7</v>
      </c>
      <c r="D57" s="4" t="s">
        <v>292</v>
      </c>
      <c r="E57" s="5" t="s">
        <v>237</v>
      </c>
      <c r="F57" s="3" t="s">
        <v>210</v>
      </c>
      <c r="G57" s="15">
        <f>+VLOOKUP(F57,[1]!Tableau1[[NOM ET PRENOM]:[Salaire NET A PAYER
(Montant Excel)]],25,FALSE)</f>
        <v>126303.00400000002</v>
      </c>
    </row>
    <row r="58" spans="2:7" x14ac:dyDescent="0.3">
      <c r="B58" s="3" t="s">
        <v>6</v>
      </c>
      <c r="C58" s="3" t="s">
        <v>7</v>
      </c>
      <c r="D58" s="4" t="s">
        <v>292</v>
      </c>
      <c r="E58" s="5" t="s">
        <v>125</v>
      </c>
      <c r="F58" s="3" t="s">
        <v>139</v>
      </c>
      <c r="G58" s="15">
        <f>+VLOOKUP(F58,[1]!Tableau1[[NOM ET PRENOM]:[Salaire NET A PAYER
(Montant Excel)]],25,FALSE)</f>
        <v>194276.739</v>
      </c>
    </row>
    <row r="59" spans="2:7" x14ac:dyDescent="0.3">
      <c r="B59" s="3" t="s">
        <v>6</v>
      </c>
      <c r="C59" s="3" t="s">
        <v>7</v>
      </c>
      <c r="D59" s="4" t="s">
        <v>292</v>
      </c>
      <c r="E59" s="5" t="s">
        <v>116</v>
      </c>
      <c r="F59" s="3" t="s">
        <v>131</v>
      </c>
      <c r="G59" s="15">
        <f>+VLOOKUP(F59,[1]!Tableau1[[NOM ET PRENOM]:[Salaire NET A PAYER
(Montant Excel)]],25,FALSE)</f>
        <v>50722.510499999997</v>
      </c>
    </row>
    <row r="60" spans="2:7" x14ac:dyDescent="0.3">
      <c r="B60" s="3" t="s">
        <v>6</v>
      </c>
      <c r="C60" s="3" t="s">
        <v>7</v>
      </c>
      <c r="D60" s="4" t="s">
        <v>292</v>
      </c>
      <c r="E60" s="5" t="s">
        <v>111</v>
      </c>
      <c r="F60" s="3" t="s">
        <v>173</v>
      </c>
      <c r="G60" s="15">
        <f>+VLOOKUP(F60,[1]!Tableau1[[NOM ET PRENOM]:[Salaire NET A PAYER
(Montant Excel)]],25,FALSE)</f>
        <v>200186.16769999999</v>
      </c>
    </row>
    <row r="61" spans="2:7" x14ac:dyDescent="0.3">
      <c r="B61" s="3" t="s">
        <v>6</v>
      </c>
      <c r="C61" s="3" t="s">
        <v>7</v>
      </c>
      <c r="D61" s="4" t="s">
        <v>292</v>
      </c>
      <c r="E61" s="5" t="s">
        <v>150</v>
      </c>
      <c r="F61" s="3" t="s">
        <v>703</v>
      </c>
      <c r="G61" s="15">
        <f>+VLOOKUP(F61,[1]!Tableau1[[NOM ET PRENOM]:[Salaire NET A PAYER
(Montant Excel)]],25,FALSE)</f>
        <v>133584.14419999998</v>
      </c>
    </row>
    <row r="62" spans="2:7" x14ac:dyDescent="0.3">
      <c r="B62" s="3" t="s">
        <v>6</v>
      </c>
      <c r="C62" s="3" t="s">
        <v>7</v>
      </c>
      <c r="D62" s="4" t="s">
        <v>292</v>
      </c>
      <c r="E62" s="5" t="s">
        <v>231</v>
      </c>
      <c r="F62" s="3" t="s">
        <v>207</v>
      </c>
      <c r="G62" s="15">
        <f>+VLOOKUP(F62,[1]!Tableau1[[NOM ET PRENOM]:[Salaire NET A PAYER
(Montant Excel)]],25,FALSE)</f>
        <v>137500.06399999998</v>
      </c>
    </row>
    <row r="63" spans="2:7" x14ac:dyDescent="0.3">
      <c r="B63" s="3" t="s">
        <v>6</v>
      </c>
      <c r="C63" s="3" t="s">
        <v>7</v>
      </c>
      <c r="D63" s="4" t="s">
        <v>292</v>
      </c>
      <c r="E63" s="5" t="s">
        <v>171</v>
      </c>
      <c r="F63" s="3" t="s">
        <v>172</v>
      </c>
      <c r="G63" s="15">
        <f>+VLOOKUP(F63,[1]!Tableau1[[NOM ET PRENOM]:[Salaire NET A PAYER
(Montant Excel)]],25,FALSE)</f>
        <v>224644.443</v>
      </c>
    </row>
    <row r="64" spans="2:7" x14ac:dyDescent="0.3">
      <c r="B64" s="3" t="s">
        <v>6</v>
      </c>
      <c r="C64" s="3" t="s">
        <v>7</v>
      </c>
      <c r="D64" s="4" t="s">
        <v>292</v>
      </c>
      <c r="E64" s="5" t="s">
        <v>76</v>
      </c>
      <c r="F64" s="3" t="s">
        <v>27</v>
      </c>
      <c r="G64" s="15">
        <f>+VLOOKUP(F64,[1]!Tableau1[[NOM ET PRENOM]:[Salaire NET A PAYER
(Montant Excel)]],25,FALSE)</f>
        <v>243117.93789999996</v>
      </c>
    </row>
    <row r="65" spans="2:7" s="1" customFormat="1" x14ac:dyDescent="0.3">
      <c r="B65" s="3" t="s">
        <v>6</v>
      </c>
      <c r="C65" s="3" t="s">
        <v>7</v>
      </c>
      <c r="D65" s="4" t="s">
        <v>292</v>
      </c>
      <c r="E65" s="5" t="s">
        <v>119</v>
      </c>
      <c r="F65" s="3" t="s">
        <v>133</v>
      </c>
      <c r="G65" s="15">
        <f>+VLOOKUP(F65,[1]!Tableau1[[NOM ET PRENOM]:[Salaire NET A PAYER
(Montant Excel)]],25,FALSE)</f>
        <v>150000.0000000002</v>
      </c>
    </row>
    <row r="66" spans="2:7" s="1" customFormat="1" x14ac:dyDescent="0.3">
      <c r="B66" s="3" t="s">
        <v>6</v>
      </c>
      <c r="C66" s="3" t="s">
        <v>7</v>
      </c>
      <c r="D66" s="4" t="s">
        <v>292</v>
      </c>
      <c r="E66" s="5" t="s">
        <v>154</v>
      </c>
      <c r="F66" s="3" t="s">
        <v>174</v>
      </c>
      <c r="G66" s="15">
        <f>+VLOOKUP(F66,[1]!Tableau1[[NOM ET PRENOM]:[Salaire NET A PAYER
(Montant Excel)]],25,FALSE)</f>
        <v>257550.31643333336</v>
      </c>
    </row>
    <row r="67" spans="2:7" x14ac:dyDescent="0.3">
      <c r="B67" s="3" t="s">
        <v>6</v>
      </c>
      <c r="C67" s="3" t="s">
        <v>7</v>
      </c>
      <c r="D67" s="4" t="s">
        <v>292</v>
      </c>
      <c r="E67" s="5" t="s">
        <v>124</v>
      </c>
      <c r="F67" s="3" t="s">
        <v>177</v>
      </c>
      <c r="G67" s="15">
        <f>+VLOOKUP(F67,[1]!Tableau1[[NOM ET PRENOM]:[Salaire NET A PAYER
(Montant Excel)]],25,FALSE)</f>
        <v>249500.076</v>
      </c>
    </row>
    <row r="68" spans="2:7" x14ac:dyDescent="0.3">
      <c r="B68" s="3" t="s">
        <v>6</v>
      </c>
      <c r="C68" s="3" t="s">
        <v>7</v>
      </c>
      <c r="D68" s="4" t="s">
        <v>292</v>
      </c>
      <c r="E68" s="5" t="s">
        <v>221</v>
      </c>
      <c r="F68" s="3" t="s">
        <v>253</v>
      </c>
      <c r="G68" s="15">
        <f>+VLOOKUP(F68,[1]!Tableau1[[NOM ET PRENOM]:[Salaire NET A PAYER
(Montant Excel)]],25,FALSE)</f>
        <v>125952.07433333335</v>
      </c>
    </row>
    <row r="69" spans="2:7" x14ac:dyDescent="0.3">
      <c r="B69" s="3" t="s">
        <v>6</v>
      </c>
      <c r="C69" s="3" t="s">
        <v>7</v>
      </c>
      <c r="D69" s="4" t="s">
        <v>292</v>
      </c>
      <c r="E69" s="5" t="s">
        <v>225</v>
      </c>
      <c r="F69" s="3" t="s">
        <v>201</v>
      </c>
      <c r="G69" s="15">
        <f>+VLOOKUP(F69,[1]!Tableau1[[NOM ET PRENOM]:[Salaire NET A PAYER
(Montant Excel)]],25,FALSE)</f>
        <v>126847.95533333335</v>
      </c>
    </row>
    <row r="70" spans="2:7" x14ac:dyDescent="0.3">
      <c r="B70" s="3" t="s">
        <v>6</v>
      </c>
      <c r="C70" s="3" t="s">
        <v>7</v>
      </c>
      <c r="D70" s="4" t="s">
        <v>292</v>
      </c>
      <c r="E70" s="5" t="s">
        <v>222</v>
      </c>
      <c r="F70" s="3" t="s">
        <v>199</v>
      </c>
      <c r="G70" s="15">
        <f>+VLOOKUP(F70,[1]!Tableau1[[NOM ET PRENOM]:[Salaire NET A PAYER
(Montant Excel)]],25,FALSE)</f>
        <v>100000.00000000001</v>
      </c>
    </row>
    <row r="71" spans="2:7" s="1" customFormat="1" x14ac:dyDescent="0.3">
      <c r="B71" s="3" t="s">
        <v>6</v>
      </c>
      <c r="C71" s="3" t="s">
        <v>7</v>
      </c>
      <c r="D71" s="4" t="s">
        <v>292</v>
      </c>
      <c r="E71" s="5" t="s">
        <v>117</v>
      </c>
      <c r="F71" s="3" t="s">
        <v>179</v>
      </c>
      <c r="G71" s="15">
        <f>+VLOOKUP(F71,[1]!Tableau1[[NOM ET PRENOM]:[Salaire NET A PAYER
(Montant Excel)]],25,FALSE)</f>
        <v>134999.96500000003</v>
      </c>
    </row>
    <row r="72" spans="2:7" s="1" customFormat="1" x14ac:dyDescent="0.3">
      <c r="B72" s="3" t="s">
        <v>6</v>
      </c>
      <c r="C72" s="3" t="s">
        <v>7</v>
      </c>
      <c r="D72" s="4" t="s">
        <v>292</v>
      </c>
      <c r="E72" s="5" t="s">
        <v>224</v>
      </c>
      <c r="F72" s="3" t="s">
        <v>200</v>
      </c>
      <c r="G72" s="15">
        <f>+VLOOKUP(F72,[1]!Tableau1[[NOM ET PRENOM]:[Salaire NET A PAYER
(Montant Excel)]],25,FALSE)</f>
        <v>133074.55900000001</v>
      </c>
    </row>
    <row r="73" spans="2:7" x14ac:dyDescent="0.3">
      <c r="B73" s="3" t="s">
        <v>6</v>
      </c>
      <c r="C73" s="3" t="s">
        <v>7</v>
      </c>
      <c r="D73" s="4" t="s">
        <v>292</v>
      </c>
      <c r="E73" s="5" t="s">
        <v>151</v>
      </c>
      <c r="F73" s="3" t="s">
        <v>145</v>
      </c>
      <c r="G73" s="15">
        <f>+VLOOKUP(F73,[1]!Tableau1[[NOM ET PRENOM]:[Salaire NET A PAYER
(Montant Excel)]],25,FALSE)</f>
        <v>115749.79000000002</v>
      </c>
    </row>
    <row r="74" spans="2:7" x14ac:dyDescent="0.3">
      <c r="B74" s="3" t="s">
        <v>6</v>
      </c>
      <c r="C74" s="3" t="s">
        <v>7</v>
      </c>
      <c r="D74" s="4" t="s">
        <v>292</v>
      </c>
      <c r="E74" s="5" t="s">
        <v>227</v>
      </c>
      <c r="F74" s="3" t="s">
        <v>203</v>
      </c>
      <c r="G74" s="15">
        <f>+VLOOKUP(F74,[1]!Tableau1[[NOM ET PRENOM]:[Salaire NET A PAYER
(Montant Excel)]],25,FALSE)</f>
        <v>125952.07433333335</v>
      </c>
    </row>
    <row r="75" spans="2:7" s="1" customFormat="1" x14ac:dyDescent="0.3">
      <c r="B75" s="3" t="s">
        <v>6</v>
      </c>
      <c r="C75" s="3" t="s">
        <v>7</v>
      </c>
      <c r="D75" s="4" t="s">
        <v>292</v>
      </c>
      <c r="E75" s="5" t="s">
        <v>220</v>
      </c>
      <c r="F75" s="3" t="s">
        <v>254</v>
      </c>
      <c r="G75" s="15">
        <f>+VLOOKUP(F75,[1]!Tableau1[[NOM ET PRENOM]:[Salaire NET A PAYER
(Montant Excel)]],25,FALSE)</f>
        <v>76585.373309309332</v>
      </c>
    </row>
    <row r="76" spans="2:7" s="1" customFormat="1" x14ac:dyDescent="0.3">
      <c r="B76" s="3" t="s">
        <v>6</v>
      </c>
      <c r="C76" s="3" t="s">
        <v>7</v>
      </c>
      <c r="D76" s="4" t="s">
        <v>292</v>
      </c>
      <c r="E76" s="5" t="s">
        <v>239</v>
      </c>
      <c r="F76" s="3" t="s">
        <v>211</v>
      </c>
      <c r="G76" s="15">
        <f>+VLOOKUP(F76,[1]!Tableau1[[NOM ET PRENOM]:[Salaire NET A PAYER
(Montant Excel)]],25,FALSE)</f>
        <v>141753.30409909913</v>
      </c>
    </row>
    <row r="77" spans="2:7" x14ac:dyDescent="0.3">
      <c r="B77" s="3" t="s">
        <v>6</v>
      </c>
      <c r="C77" s="3" t="s">
        <v>7</v>
      </c>
      <c r="D77" s="4" t="s">
        <v>292</v>
      </c>
      <c r="E77" s="5" t="s">
        <v>123</v>
      </c>
      <c r="F77" s="3" t="s">
        <v>180</v>
      </c>
      <c r="G77" s="15">
        <f>+VLOOKUP(F77,[1]!Tableau1[[NOM ET PRENOM]:[Salaire NET A PAYER
(Montant Excel)]],25,FALSE)</f>
        <v>100000.00000000001</v>
      </c>
    </row>
    <row r="78" spans="2:7" x14ac:dyDescent="0.3">
      <c r="B78" s="3" t="s">
        <v>6</v>
      </c>
      <c r="C78" s="3" t="s">
        <v>7</v>
      </c>
      <c r="D78" s="4" t="s">
        <v>292</v>
      </c>
      <c r="E78" s="5" t="s">
        <v>274</v>
      </c>
      <c r="F78" s="3" t="s">
        <v>273</v>
      </c>
      <c r="G78" s="15">
        <f>+VLOOKUP(F78,[1]!Tableau1[[NOM ET PRENOM]:[Salaire NET A PAYER
(Montant Excel)]],25,FALSE)</f>
        <v>349999.89</v>
      </c>
    </row>
    <row r="79" spans="2:7" x14ac:dyDescent="0.3">
      <c r="B79" s="3" t="s">
        <v>6</v>
      </c>
      <c r="C79" s="3" t="s">
        <v>7</v>
      </c>
      <c r="D79" s="4" t="s">
        <v>292</v>
      </c>
      <c r="E79" s="5" t="s">
        <v>267</v>
      </c>
      <c r="F79" s="3" t="s">
        <v>270</v>
      </c>
      <c r="G79" s="15">
        <f>+VLOOKUP(F79,[1]!Tableau1[[NOM ET PRENOM]:[Salaire NET A PAYER
(Montant Excel)]],25,FALSE)</f>
        <v>132112.63300000003</v>
      </c>
    </row>
    <row r="80" spans="2:7" s="1" customFormat="1" x14ac:dyDescent="0.3">
      <c r="B80" s="3" t="s">
        <v>6</v>
      </c>
      <c r="C80" s="3" t="s">
        <v>7</v>
      </c>
      <c r="D80" s="4" t="s">
        <v>292</v>
      </c>
      <c r="E80" s="5" t="s">
        <v>120</v>
      </c>
      <c r="F80" s="3" t="s">
        <v>181</v>
      </c>
      <c r="G80" s="15">
        <f>+VLOOKUP(F80,[1]!Tableau1[[NOM ET PRENOM]:[Salaire NET A PAYER
(Montant Excel)]],25,FALSE)</f>
        <v>123353.00933333335</v>
      </c>
    </row>
    <row r="81" spans="2:7" x14ac:dyDescent="0.3">
      <c r="B81" s="3" t="s">
        <v>6</v>
      </c>
      <c r="C81" s="3" t="s">
        <v>7</v>
      </c>
      <c r="D81" s="4" t="s">
        <v>292</v>
      </c>
      <c r="E81" s="5" t="s">
        <v>240</v>
      </c>
      <c r="F81" s="3" t="s">
        <v>255</v>
      </c>
      <c r="G81" s="15">
        <f>+VLOOKUP(F81,[1]!Tableau1[[NOM ET PRENOM]:[Salaire NET A PAYER
(Montant Excel)]],25,FALSE)</f>
        <v>132112.63300000003</v>
      </c>
    </row>
    <row r="82" spans="2:7" s="1" customFormat="1" x14ac:dyDescent="0.3">
      <c r="B82" s="3" t="s">
        <v>246</v>
      </c>
      <c r="C82" s="3" t="s">
        <v>7</v>
      </c>
      <c r="D82" s="4" t="s">
        <v>292</v>
      </c>
      <c r="E82" s="5" t="s">
        <v>232</v>
      </c>
      <c r="F82" s="3" t="s">
        <v>670</v>
      </c>
      <c r="G82" s="15">
        <f>+VLOOKUP(F82,[1]!Tableau1[[NOM ET PRENOM]:[Salaire NET A PAYER
(Montant Excel)]],25,FALSE)</f>
        <v>118899.74800000002</v>
      </c>
    </row>
    <row r="83" spans="2:7" x14ac:dyDescent="0.3">
      <c r="B83" s="3" t="s">
        <v>6</v>
      </c>
      <c r="C83" s="3" t="s">
        <v>7</v>
      </c>
      <c r="D83" s="4" t="s">
        <v>292</v>
      </c>
      <c r="E83" s="5" t="s">
        <v>244</v>
      </c>
      <c r="F83" s="3" t="s">
        <v>213</v>
      </c>
      <c r="G83" s="15">
        <f>+VLOOKUP(F83,[1]!Tableau1[[NOM ET PRENOM]:[Salaire NET A PAYER
(Montant Excel)]],25,FALSE)</f>
        <v>133074.55900000001</v>
      </c>
    </row>
    <row r="84" spans="2:7" s="1" customFormat="1" x14ac:dyDescent="0.3">
      <c r="B84" s="3" t="s">
        <v>6</v>
      </c>
      <c r="C84" s="3" t="s">
        <v>7</v>
      </c>
      <c r="D84" s="4" t="s">
        <v>292</v>
      </c>
      <c r="E84" s="5" t="s">
        <v>234</v>
      </c>
      <c r="F84" s="3" t="s">
        <v>256</v>
      </c>
      <c r="G84" s="15">
        <f>+VLOOKUP(F84,[1]!Tableau1[[NOM ET PRENOM]:[Salaire NET A PAYER
(Montant Excel)]],25,FALSE)</f>
        <v>117479.94066666668</v>
      </c>
    </row>
    <row r="85" spans="2:7" s="1" customFormat="1" x14ac:dyDescent="0.3">
      <c r="B85" s="3" t="s">
        <v>6</v>
      </c>
      <c r="C85" s="3" t="s">
        <v>7</v>
      </c>
      <c r="D85" s="4" t="s">
        <v>292</v>
      </c>
      <c r="E85" s="5" t="s">
        <v>223</v>
      </c>
      <c r="F85" s="3" t="s">
        <v>257</v>
      </c>
      <c r="G85" s="15">
        <f>+VLOOKUP(F85,[1]!Tableau1[[NOM ET PRENOM]:[Salaire NET A PAYER
(Montant Excel)]],25,FALSE)</f>
        <v>100000</v>
      </c>
    </row>
    <row r="86" spans="2:7" x14ac:dyDescent="0.3">
      <c r="B86" s="3" t="s">
        <v>6</v>
      </c>
      <c r="C86" s="3" t="s">
        <v>7</v>
      </c>
      <c r="D86" s="4" t="s">
        <v>292</v>
      </c>
      <c r="E86" s="5" t="s">
        <v>215</v>
      </c>
      <c r="F86" s="3" t="s">
        <v>258</v>
      </c>
      <c r="G86" s="15">
        <f>+VLOOKUP(F86,[1]!Tableau1[[NOM ET PRENOM]:[Salaire NET A PAYER
(Montant Excel)]],25,FALSE)</f>
        <v>133074.55900000001</v>
      </c>
    </row>
    <row r="87" spans="2:7" x14ac:dyDescent="0.3">
      <c r="B87" s="3" t="s">
        <v>6</v>
      </c>
      <c r="C87" s="3" t="s">
        <v>7</v>
      </c>
      <c r="D87" s="4" t="s">
        <v>292</v>
      </c>
      <c r="E87" s="5" t="s">
        <v>238</v>
      </c>
      <c r="F87" s="3" t="s">
        <v>259</v>
      </c>
      <c r="G87" s="15">
        <f>+VLOOKUP(F87,[1]!Tableau1[[NOM ET PRENOM]:[Salaire NET A PAYER
(Montant Excel)]],25,FALSE)</f>
        <v>129225.30100000002</v>
      </c>
    </row>
    <row r="88" spans="2:7" s="1" customFormat="1" x14ac:dyDescent="0.3">
      <c r="B88" s="3" t="s">
        <v>6</v>
      </c>
      <c r="C88" s="3" t="s">
        <v>7</v>
      </c>
      <c r="D88" s="4" t="s">
        <v>292</v>
      </c>
      <c r="E88" s="5" t="s">
        <v>115</v>
      </c>
      <c r="F88" s="3" t="s">
        <v>130</v>
      </c>
      <c r="G88" s="15">
        <f>+VLOOKUP(F88,[1]!Tableau1[[NOM ET PRENOM]:[Salaire NET A PAYER
(Montant Excel)]],25,FALSE)</f>
        <v>100000.00000000001</v>
      </c>
    </row>
    <row r="89" spans="2:7" s="1" customFormat="1" x14ac:dyDescent="0.3">
      <c r="B89" s="3" t="s">
        <v>6</v>
      </c>
      <c r="C89" s="3" t="s">
        <v>7</v>
      </c>
      <c r="D89" s="4" t="s">
        <v>8</v>
      </c>
      <c r="E89" s="5" t="s">
        <v>438</v>
      </c>
      <c r="F89" s="3" t="s">
        <v>365</v>
      </c>
      <c r="G89" s="15">
        <f>+VLOOKUP(F89,[1]!Tableau1[[NOM ET PRENOM]:[Salaire NET A PAYER
(Montant Excel)]],25,FALSE)</f>
        <v>250000.31299999999</v>
      </c>
    </row>
    <row r="90" spans="2:7" x14ac:dyDescent="0.3">
      <c r="B90" s="3" t="s">
        <v>6</v>
      </c>
      <c r="C90" s="3" t="s">
        <v>7</v>
      </c>
      <c r="D90" s="4" t="s">
        <v>8</v>
      </c>
      <c r="E90" s="5" t="s">
        <v>118</v>
      </c>
      <c r="F90" s="3" t="s">
        <v>178</v>
      </c>
      <c r="G90" s="15">
        <f>+VLOOKUP(F90,[1]!Tableau1[[NOM ET PRENOM]:[Salaire NET A PAYER
(Montant Excel)]],25,FALSE)</f>
        <v>150000.0000000002</v>
      </c>
    </row>
    <row r="91" spans="2:7" x14ac:dyDescent="0.3">
      <c r="B91" s="3" t="s">
        <v>246</v>
      </c>
      <c r="C91" s="3" t="s">
        <v>7</v>
      </c>
      <c r="D91" s="4" t="s">
        <v>292</v>
      </c>
      <c r="E91" s="5" t="s">
        <v>218</v>
      </c>
      <c r="F91" s="3" t="s">
        <v>197</v>
      </c>
      <c r="G91" s="15">
        <f>+VLOOKUP(F91,[1]!Tableau1[[NOM ET PRENOM]:[Salaire NET A PAYER
(Montant Excel)]],25,FALSE)</f>
        <v>133074.55900000001</v>
      </c>
    </row>
    <row r="92" spans="2:7" s="24" customFormat="1" x14ac:dyDescent="0.3">
      <c r="B92" s="16" t="s">
        <v>6</v>
      </c>
      <c r="C92" s="16" t="s">
        <v>7</v>
      </c>
      <c r="D92" s="17" t="s">
        <v>292</v>
      </c>
      <c r="E92" s="18" t="s">
        <v>242</v>
      </c>
      <c r="F92" s="16" t="s">
        <v>260</v>
      </c>
      <c r="G92" s="19" t="e">
        <f>+VLOOKUP(F92,[1]!Tableau1[[NOM ET PRENOM]:[Salaire NET A PAYER
(Montant Excel)]],25,FALSE)</f>
        <v>#N/A</v>
      </c>
    </row>
    <row r="93" spans="2:7" x14ac:dyDescent="0.3">
      <c r="B93" s="3" t="s">
        <v>6</v>
      </c>
      <c r="C93" s="3" t="s">
        <v>7</v>
      </c>
      <c r="D93" s="4" t="s">
        <v>292</v>
      </c>
      <c r="E93" s="5" t="s">
        <v>241</v>
      </c>
      <c r="F93" s="3" t="s">
        <v>212</v>
      </c>
      <c r="G93" s="15">
        <f>+VLOOKUP(F93,[1]!Tableau1[[NOM ET PRENOM]:[Salaire NET A PAYER
(Montant Excel)]],25,FALSE)</f>
        <v>134999.96500000003</v>
      </c>
    </row>
    <row r="94" spans="2:7" s="1" customFormat="1" x14ac:dyDescent="0.3">
      <c r="B94" s="3" t="s">
        <v>128</v>
      </c>
      <c r="C94" s="3" t="s">
        <v>143</v>
      </c>
      <c r="D94" s="4" t="s">
        <v>292</v>
      </c>
      <c r="E94" s="5" t="s">
        <v>306</v>
      </c>
      <c r="F94" s="3" t="s">
        <v>137</v>
      </c>
      <c r="G94" s="15">
        <f>+VLOOKUP(F94,[1]!Tableau1[[NOM ET PRENOM]:[Salaire NET A PAYER
(Montant Excel)]],25,FALSE)</f>
        <v>128550.36233333334</v>
      </c>
    </row>
    <row r="95" spans="2:7" s="1" customFormat="1" x14ac:dyDescent="0.3">
      <c r="B95" s="3" t="s">
        <v>128</v>
      </c>
      <c r="C95" s="3" t="s">
        <v>143</v>
      </c>
      <c r="D95" s="4" t="s">
        <v>292</v>
      </c>
      <c r="E95" s="5" t="s">
        <v>305</v>
      </c>
      <c r="F95" s="3" t="s">
        <v>182</v>
      </c>
      <c r="G95" s="15">
        <f>+VLOOKUP(F95,[1]!Tableau1[[NOM ET PRENOM]:[Salaire NET A PAYER
(Montant Excel)]],25,FALSE)</f>
        <v>137500.06399999998</v>
      </c>
    </row>
    <row r="96" spans="2:7" s="24" customFormat="1" x14ac:dyDescent="0.3">
      <c r="B96" s="16" t="s">
        <v>9</v>
      </c>
      <c r="C96" s="16" t="s">
        <v>10</v>
      </c>
      <c r="D96" s="17" t="s">
        <v>383</v>
      </c>
      <c r="E96" s="18" t="s">
        <v>390</v>
      </c>
      <c r="F96" s="16" t="s">
        <v>184</v>
      </c>
      <c r="G96" s="19" t="e">
        <f>+VLOOKUP(F96,[1]!Tableau1[[NOM ET PRENOM]:[Salaire NET A PAYER
(Montant Excel)]],25,FALSE)</f>
        <v>#N/A</v>
      </c>
    </row>
    <row r="97" spans="2:7" x14ac:dyDescent="0.3">
      <c r="B97" s="3" t="s">
        <v>9</v>
      </c>
      <c r="C97" s="3" t="s">
        <v>10</v>
      </c>
      <c r="D97" s="4" t="s">
        <v>307</v>
      </c>
      <c r="E97" s="5" t="s">
        <v>308</v>
      </c>
      <c r="F97" s="3" t="s">
        <v>99</v>
      </c>
      <c r="G97" s="15">
        <f>+VLOOKUP(F97,[1]!Tableau1[[NOM ET PRENOM]:[Salaire NET A PAYER
(Montant Excel)]],25,FALSE)</f>
        <v>250000.31299999999</v>
      </c>
    </row>
    <row r="98" spans="2:7" x14ac:dyDescent="0.3">
      <c r="B98" s="3" t="s">
        <v>9</v>
      </c>
      <c r="C98" s="3" t="s">
        <v>10</v>
      </c>
      <c r="D98" s="4" t="s">
        <v>388</v>
      </c>
      <c r="E98" s="5" t="s">
        <v>392</v>
      </c>
      <c r="F98" s="3" t="s">
        <v>183</v>
      </c>
      <c r="G98" s="15">
        <f>+VLOOKUP(F98,[1]!Tableau1[[NOM ET PRENOM]:[Salaire NET A PAYER
(Montant Excel)]],25,FALSE)</f>
        <v>247999.96899999998</v>
      </c>
    </row>
    <row r="99" spans="2:7" x14ac:dyDescent="0.3">
      <c r="B99" s="3" t="s">
        <v>9</v>
      </c>
      <c r="C99" s="3" t="s">
        <v>10</v>
      </c>
      <c r="D99" s="4" t="s">
        <v>381</v>
      </c>
      <c r="E99" s="5" t="s">
        <v>389</v>
      </c>
      <c r="F99" s="3" t="s">
        <v>141</v>
      </c>
      <c r="G99" s="15">
        <f>+VLOOKUP(F99,[1]!Tableau1[[NOM ET PRENOM]:[Salaire NET A PAYER
(Montant Excel)]],25,FALSE)</f>
        <v>249999.51699999999</v>
      </c>
    </row>
    <row r="100" spans="2:7" x14ac:dyDescent="0.3">
      <c r="B100" s="3" t="s">
        <v>9</v>
      </c>
      <c r="C100" s="3" t="s">
        <v>10</v>
      </c>
      <c r="D100" s="4" t="s">
        <v>377</v>
      </c>
      <c r="E100" s="5" t="s">
        <v>391</v>
      </c>
      <c r="F100" s="3" t="s">
        <v>144</v>
      </c>
      <c r="G100" s="15">
        <f>+VLOOKUP(F100,[1]!Tableau1[[NOM ET PRENOM]:[Salaire NET A PAYER
(Montant Excel)]],25,FALSE)</f>
        <v>100000.00000000001</v>
      </c>
    </row>
    <row r="101" spans="2:7" x14ac:dyDescent="0.3">
      <c r="B101" s="3" t="s">
        <v>25</v>
      </c>
      <c r="C101" s="3" t="s">
        <v>268</v>
      </c>
      <c r="D101" s="4" t="s">
        <v>381</v>
      </c>
      <c r="E101" s="5" t="s">
        <v>382</v>
      </c>
      <c r="F101" s="3" t="s">
        <v>45</v>
      </c>
      <c r="G101" s="15">
        <f>+VLOOKUP(F101,[1]!Tableau1[[NOM ET PRENOM]:[Salaire NET A PAYER
(Montant Excel)]],25,FALSE)</f>
        <v>250000.31299999999</v>
      </c>
    </row>
    <row r="102" spans="2:7" x14ac:dyDescent="0.3">
      <c r="B102" s="3" t="s">
        <v>25</v>
      </c>
      <c r="C102" s="3" t="s">
        <v>268</v>
      </c>
      <c r="D102" s="4" t="s">
        <v>393</v>
      </c>
      <c r="E102" s="5" t="s">
        <v>394</v>
      </c>
      <c r="F102" s="3" t="s">
        <v>271</v>
      </c>
      <c r="G102" s="15">
        <f>+VLOOKUP(F102,[1]!Tableau1[[NOM ET PRENOM]:[Salaire NET A PAYER
(Montant Excel)]],25,FALSE)</f>
        <v>250000.31299999999</v>
      </c>
    </row>
    <row r="103" spans="2:7" x14ac:dyDescent="0.3">
      <c r="B103" s="3" t="s">
        <v>55</v>
      </c>
      <c r="C103" s="3" t="s">
        <v>56</v>
      </c>
      <c r="D103" s="4" t="s">
        <v>297</v>
      </c>
      <c r="E103" s="5" t="s">
        <v>309</v>
      </c>
      <c r="F103" s="3" t="s">
        <v>196</v>
      </c>
      <c r="G103" s="15">
        <f>+VLOOKUP(F103,[1]!Tableau1[[NOM ET PRENOM]:[Salaire NET A PAYER
(Montant Excel)]],25,FALSE)</f>
        <v>144268.22399999999</v>
      </c>
    </row>
    <row r="104" spans="2:7" x14ac:dyDescent="0.3">
      <c r="B104" s="3" t="s">
        <v>55</v>
      </c>
      <c r="C104" s="3" t="s">
        <v>56</v>
      </c>
      <c r="D104" s="4" t="s">
        <v>297</v>
      </c>
      <c r="E104" s="5" t="s">
        <v>310</v>
      </c>
      <c r="F104" s="3" t="s">
        <v>186</v>
      </c>
      <c r="G104" s="15">
        <f>+VLOOKUP(F104,[1]!Tableau1[[NOM ET PRENOM]:[Salaire NET A PAYER
(Montant Excel)]],25,FALSE)</f>
        <v>250000.31299999999</v>
      </c>
    </row>
    <row r="105" spans="2:7" x14ac:dyDescent="0.3">
      <c r="B105" s="3" t="s">
        <v>55</v>
      </c>
      <c r="C105" s="3" t="s">
        <v>56</v>
      </c>
      <c r="D105" s="4" t="s">
        <v>297</v>
      </c>
      <c r="E105" s="5" t="s">
        <v>311</v>
      </c>
      <c r="F105" s="3" t="s">
        <v>185</v>
      </c>
      <c r="G105" s="15">
        <f>+VLOOKUP(F105,[1]!Tableau1[[NOM ET PRENOM]:[Salaire NET A PAYER
(Montant Excel)]],25,FALSE)</f>
        <v>223985</v>
      </c>
    </row>
    <row r="106" spans="2:7" x14ac:dyDescent="0.3">
      <c r="B106" s="3" t="s">
        <v>55</v>
      </c>
      <c r="C106" s="3" t="s">
        <v>56</v>
      </c>
      <c r="D106" s="4" t="s">
        <v>312</v>
      </c>
      <c r="E106" s="5" t="s">
        <v>313</v>
      </c>
      <c r="F106" s="3" t="s">
        <v>135</v>
      </c>
      <c r="G106" s="15">
        <f>+VLOOKUP(F106,[1]!Tableau1[[NOM ET PRENOM]:[Salaire NET A PAYER
(Montant Excel)]],25,FALSE)</f>
        <v>126847.95533333335</v>
      </c>
    </row>
    <row r="107" spans="2:7" x14ac:dyDescent="0.3">
      <c r="B107" s="3" t="s">
        <v>55</v>
      </c>
      <c r="C107" s="3" t="s">
        <v>56</v>
      </c>
      <c r="D107" s="4" t="s">
        <v>395</v>
      </c>
      <c r="E107" s="5" t="s">
        <v>396</v>
      </c>
      <c r="F107" s="3" t="s">
        <v>146</v>
      </c>
      <c r="G107" s="15">
        <f>+VLOOKUP(F107,[1]!Tableau1[[NOM ET PRENOM]:[Salaire NET A PAYER
(Montant Excel)]],25,FALSE)</f>
        <v>100000.00000000001</v>
      </c>
    </row>
    <row r="108" spans="2:7" x14ac:dyDescent="0.3">
      <c r="B108" s="3" t="s">
        <v>55</v>
      </c>
      <c r="C108" s="3" t="s">
        <v>56</v>
      </c>
      <c r="D108" s="4" t="s">
        <v>430</v>
      </c>
      <c r="E108" s="5" t="s">
        <v>431</v>
      </c>
      <c r="F108" s="3" t="s">
        <v>436</v>
      </c>
      <c r="G108" s="15">
        <f>+VLOOKUP(F108,[1]!Tableau1[[NOM ET PRENOM]:[Salaire NET A PAYER
(Montant Excel)]],25,FALSE)</f>
        <v>0</v>
      </c>
    </row>
    <row r="109" spans="2:7" x14ac:dyDescent="0.3">
      <c r="B109" s="3" t="s">
        <v>6</v>
      </c>
      <c r="C109" s="3" t="s">
        <v>409</v>
      </c>
      <c r="D109" s="4" t="s">
        <v>8</v>
      </c>
      <c r="E109" s="5" t="s">
        <v>439</v>
      </c>
      <c r="F109" s="3" t="s">
        <v>437</v>
      </c>
      <c r="G109" s="15">
        <f>+VLOOKUP(F109,[1]!Tableau1[[NOM ET PRENOM]:[Salaire NET A PAYER
(Montant Excel)]],25,FALSE)</f>
        <v>136999.557</v>
      </c>
    </row>
    <row r="110" spans="2:7" x14ac:dyDescent="0.3">
      <c r="B110" s="3" t="s">
        <v>6</v>
      </c>
      <c r="C110" s="3" t="s">
        <v>409</v>
      </c>
      <c r="D110" s="4" t="s">
        <v>8</v>
      </c>
      <c r="E110" s="5" t="s">
        <v>415</v>
      </c>
      <c r="F110" s="3" t="s">
        <v>424</v>
      </c>
      <c r="G110" s="15">
        <f>+VLOOKUP(F110,[1]!Tableau1[[NOM ET PRENOM]:[Salaire NET A PAYER
(Montant Excel)]],25,FALSE)</f>
        <v>150000</v>
      </c>
    </row>
    <row r="111" spans="2:7" s="24" customFormat="1" x14ac:dyDescent="0.3">
      <c r="B111" s="16" t="s">
        <v>37</v>
      </c>
      <c r="C111" s="16" t="s">
        <v>38</v>
      </c>
      <c r="D111" s="17" t="s">
        <v>39</v>
      </c>
      <c r="E111" s="18" t="s">
        <v>440</v>
      </c>
      <c r="F111" s="16" t="s">
        <v>363</v>
      </c>
      <c r="G111" s="19" t="e">
        <f>+VLOOKUP(F111,[1]!Tableau1[[NOM ET PRENOM]:[Salaire NET A PAYER
(Montant Excel)]],25,FALSE)</f>
        <v>#N/A</v>
      </c>
    </row>
    <row r="112" spans="2:7" x14ac:dyDescent="0.3">
      <c r="B112" s="3" t="s">
        <v>37</v>
      </c>
      <c r="C112" s="3" t="s">
        <v>38</v>
      </c>
      <c r="D112" s="4" t="s">
        <v>303</v>
      </c>
      <c r="E112" s="5" t="s">
        <v>90</v>
      </c>
      <c r="F112" s="3" t="s">
        <v>704</v>
      </c>
      <c r="G112" s="15">
        <f>+VLOOKUP(F112,[1]!Tableau1[[NOM ET PRENOM]:[Salaire NET A PAYER
(Montant Excel)]],25,FALSE)</f>
        <v>299000.473</v>
      </c>
    </row>
    <row r="113" spans="2:7" x14ac:dyDescent="0.3">
      <c r="B113" s="3" t="s">
        <v>37</v>
      </c>
      <c r="C113" s="3" t="s">
        <v>38</v>
      </c>
      <c r="D113" s="4" t="s">
        <v>314</v>
      </c>
      <c r="E113" s="5" t="s">
        <v>129</v>
      </c>
      <c r="F113" s="3" t="s">
        <v>187</v>
      </c>
      <c r="G113" s="15">
        <f>+VLOOKUP(F113,[1]!Tableau1[[NOM ET PRENOM]:[Salaire NET A PAYER
(Montant Excel)]],25,FALSE)</f>
        <v>234078.66800000001</v>
      </c>
    </row>
    <row r="114" spans="2:7" x14ac:dyDescent="0.3">
      <c r="B114" s="3" t="s">
        <v>37</v>
      </c>
      <c r="C114" s="3" t="s">
        <v>38</v>
      </c>
      <c r="D114" s="4" t="s">
        <v>304</v>
      </c>
      <c r="E114" s="5" t="s">
        <v>95</v>
      </c>
      <c r="F114" s="3" t="s">
        <v>60</v>
      </c>
      <c r="G114" s="15">
        <f>+VLOOKUP(F114,[1]!Tableau1[[NOM ET PRENOM]:[Salaire NET A PAYER
(Montant Excel)]],25,FALSE)</f>
        <v>349999.77500000002</v>
      </c>
    </row>
    <row r="115" spans="2:7" x14ac:dyDescent="0.3">
      <c r="B115" s="3" t="s">
        <v>40</v>
      </c>
      <c r="C115" s="3" t="s">
        <v>41</v>
      </c>
      <c r="D115" s="4" t="s">
        <v>397</v>
      </c>
      <c r="E115" s="5" t="s">
        <v>398</v>
      </c>
      <c r="F115" s="3" t="s">
        <v>98</v>
      </c>
      <c r="G115" s="15">
        <f>+VLOOKUP(F115,[1]!Tableau1[[NOM ET PRENOM]:[Salaire NET A PAYER
(Montant Excel)]],25,FALSE)</f>
        <v>265500.31299999997</v>
      </c>
    </row>
    <row r="116" spans="2:7" x14ac:dyDescent="0.3">
      <c r="B116" s="3" t="s">
        <v>40</v>
      </c>
      <c r="C116" s="3" t="s">
        <v>41</v>
      </c>
      <c r="D116" s="4" t="s">
        <v>397</v>
      </c>
      <c r="E116" s="5" t="s">
        <v>399</v>
      </c>
      <c r="F116" s="3" t="s">
        <v>136</v>
      </c>
      <c r="G116" s="15">
        <f>+VLOOKUP(F116,[1]!Tableau1[[NOM ET PRENOM]:[Salaire NET A PAYER
(Montant Excel)]],25,FALSE)</f>
        <v>250000.31299999999</v>
      </c>
    </row>
    <row r="117" spans="2:7" x14ac:dyDescent="0.3">
      <c r="B117" s="3" t="s">
        <v>17</v>
      </c>
      <c r="C117" s="3" t="s">
        <v>18</v>
      </c>
      <c r="D117" s="4" t="s">
        <v>315</v>
      </c>
      <c r="E117" s="5" t="s">
        <v>318</v>
      </c>
      <c r="F117" s="3" t="s">
        <v>189</v>
      </c>
      <c r="G117" s="15">
        <f>+VLOOKUP(F117,[1]!Tableau1[[NOM ET PRENOM]:[Salaire NET A PAYER
(Montant Excel)]],25,FALSE)</f>
        <v>134999.96500000003</v>
      </c>
    </row>
    <row r="118" spans="2:7" x14ac:dyDescent="0.3">
      <c r="B118" s="3" t="s">
        <v>17</v>
      </c>
      <c r="C118" s="3" t="s">
        <v>18</v>
      </c>
      <c r="D118" s="4" t="s">
        <v>315</v>
      </c>
      <c r="E118" s="5" t="s">
        <v>320</v>
      </c>
      <c r="F118" s="3" t="s">
        <v>132</v>
      </c>
      <c r="G118" s="15">
        <f>+VLOOKUP(F118,[1]!Tableau1[[NOM ET PRENOM]:[Salaire NET A PAYER
(Montant Excel)]],25,FALSE)</f>
        <v>79936.911279279288</v>
      </c>
    </row>
    <row r="119" spans="2:7" x14ac:dyDescent="0.3">
      <c r="B119" s="3" t="s">
        <v>17</v>
      </c>
      <c r="C119" s="3" t="s">
        <v>18</v>
      </c>
      <c r="D119" s="4" t="s">
        <v>315</v>
      </c>
      <c r="E119" s="5" t="s">
        <v>324</v>
      </c>
      <c r="F119" s="3" t="s">
        <v>191</v>
      </c>
      <c r="G119" s="15">
        <f>+VLOOKUP(F119,[1]!Tableau1[[NOM ET PRENOM]:[Salaire NET A PAYER
(Montant Excel)]],25,FALSE)</f>
        <v>118899.74800000002</v>
      </c>
    </row>
    <row r="120" spans="2:7" x14ac:dyDescent="0.3">
      <c r="B120" s="3" t="s">
        <v>17</v>
      </c>
      <c r="C120" s="3" t="s">
        <v>18</v>
      </c>
      <c r="D120" s="4" t="s">
        <v>315</v>
      </c>
      <c r="E120" s="5" t="s">
        <v>316</v>
      </c>
      <c r="F120" s="3" t="s">
        <v>188</v>
      </c>
      <c r="G120" s="15">
        <f>+VLOOKUP(F120,[1]!Tableau1[[NOM ET PRENOM]:[Salaire NET A PAYER
(Montant Excel)]],25,FALSE)</f>
        <v>144768.22399999999</v>
      </c>
    </row>
    <row r="121" spans="2:7" x14ac:dyDescent="0.3">
      <c r="B121" s="3" t="s">
        <v>17</v>
      </c>
      <c r="C121" s="3" t="s">
        <v>18</v>
      </c>
      <c r="D121" s="4" t="s">
        <v>321</v>
      </c>
      <c r="E121" s="5" t="s">
        <v>322</v>
      </c>
      <c r="F121" s="3" t="s">
        <v>34</v>
      </c>
      <c r="G121" s="15">
        <f>+VLOOKUP(F121,[1]!Tableau1[[NOM ET PRENOM]:[Salaire NET A PAYER
(Montant Excel)]],25,FALSE)</f>
        <v>250000.198</v>
      </c>
    </row>
    <row r="122" spans="2:7" x14ac:dyDescent="0.3">
      <c r="B122" s="3" t="s">
        <v>17</v>
      </c>
      <c r="C122" s="3" t="s">
        <v>18</v>
      </c>
      <c r="D122" s="4" t="s">
        <v>317</v>
      </c>
      <c r="E122" s="5" t="s">
        <v>89</v>
      </c>
      <c r="F122" s="3" t="s">
        <v>52</v>
      </c>
      <c r="G122" s="15">
        <f>+VLOOKUP(F122,[1]!Tableau1[[NOM ET PRENOM]:[Salaire NET A PAYER
(Montant Excel)]],25,FALSE)</f>
        <v>659158.35199999996</v>
      </c>
    </row>
    <row r="123" spans="2:7" x14ac:dyDescent="0.3">
      <c r="B123" s="3" t="s">
        <v>17</v>
      </c>
      <c r="C123" s="3" t="s">
        <v>18</v>
      </c>
      <c r="D123" s="4" t="s">
        <v>315</v>
      </c>
      <c r="E123" s="5" t="s">
        <v>323</v>
      </c>
      <c r="F123" s="3" t="s">
        <v>68</v>
      </c>
      <c r="G123" s="15">
        <f>+VLOOKUP(F123,[1]!Tableau1[[NOM ET PRENOM]:[Salaire NET A PAYER
(Montant Excel)]],25,FALSE)</f>
        <v>144768.22399999999</v>
      </c>
    </row>
    <row r="124" spans="2:7" x14ac:dyDescent="0.3">
      <c r="B124" s="3" t="s">
        <v>17</v>
      </c>
      <c r="C124" s="3" t="s">
        <v>18</v>
      </c>
      <c r="D124" s="4" t="s">
        <v>325</v>
      </c>
      <c r="E124" s="5" t="s">
        <v>326</v>
      </c>
      <c r="F124" s="3" t="s">
        <v>61</v>
      </c>
      <c r="G124" s="15">
        <f>+VLOOKUP(F124,[1]!Tableau1[[NOM ET PRENOM]:[Salaire NET A PAYER
(Montant Excel)]],25,FALSE)</f>
        <v>247118.56139999995</v>
      </c>
    </row>
    <row r="125" spans="2:7" x14ac:dyDescent="0.3">
      <c r="B125" s="3" t="s">
        <v>17</v>
      </c>
      <c r="C125" s="3" t="s">
        <v>18</v>
      </c>
      <c r="D125" s="4" t="s">
        <v>319</v>
      </c>
      <c r="E125" s="5" t="s">
        <v>96</v>
      </c>
      <c r="F125" s="3" t="s">
        <v>62</v>
      </c>
      <c r="G125" s="15">
        <f>+VLOOKUP(F125,[1]!Tableau1[[NOM ET PRENOM]:[Salaire NET A PAYER
(Montant Excel)]],25,FALSE)</f>
        <v>250690.96299999999</v>
      </c>
    </row>
    <row r="126" spans="2:7" x14ac:dyDescent="0.3">
      <c r="B126" s="3" t="s">
        <v>17</v>
      </c>
      <c r="C126" s="3" t="s">
        <v>18</v>
      </c>
      <c r="D126" s="4" t="s">
        <v>327</v>
      </c>
      <c r="E126" s="5" t="s">
        <v>328</v>
      </c>
      <c r="F126" s="3" t="s">
        <v>190</v>
      </c>
      <c r="G126" s="15">
        <f>+VLOOKUP(F126,[1]!Tableau1[[NOM ET PRENOM]:[Salaire NET A PAYER
(Montant Excel)]],25,FALSE)</f>
        <v>249500.076</v>
      </c>
    </row>
    <row r="127" spans="2:7" x14ac:dyDescent="0.3">
      <c r="B127" s="3" t="s">
        <v>17</v>
      </c>
      <c r="C127" s="3" t="s">
        <v>18</v>
      </c>
      <c r="D127" s="4" t="s">
        <v>315</v>
      </c>
      <c r="E127" s="5" t="s">
        <v>329</v>
      </c>
      <c r="F127" s="3" t="s">
        <v>198</v>
      </c>
      <c r="G127" s="15">
        <f>+VLOOKUP(F127,[1]!Tableau1[[NOM ET PRENOM]:[Salaire NET A PAYER
(Montant Excel)]],25,FALSE)</f>
        <v>133074.55900000001</v>
      </c>
    </row>
    <row r="128" spans="2:7" s="24" customFormat="1" x14ac:dyDescent="0.3">
      <c r="B128" s="16" t="s">
        <v>11</v>
      </c>
      <c r="C128" s="16" t="s">
        <v>12</v>
      </c>
      <c r="D128" s="17" t="s">
        <v>336</v>
      </c>
      <c r="E128" s="18" t="s">
        <v>337</v>
      </c>
      <c r="F128" s="16" t="s">
        <v>204</v>
      </c>
      <c r="G128" s="19" t="e">
        <f>+VLOOKUP(F128,[1]!Tableau1[[NOM ET PRENOM]:[Salaire NET A PAYER
(Montant Excel)]],25,FALSE)</f>
        <v>#N/A</v>
      </c>
    </row>
    <row r="129" spans="2:7" x14ac:dyDescent="0.3">
      <c r="B129" s="3" t="s">
        <v>11</v>
      </c>
      <c r="C129" s="3" t="s">
        <v>12</v>
      </c>
      <c r="D129" s="4" t="s">
        <v>401</v>
      </c>
      <c r="E129" s="5" t="s">
        <v>402</v>
      </c>
      <c r="F129" s="3" t="s">
        <v>101</v>
      </c>
      <c r="G129" s="15">
        <f>+VLOOKUP(F129,[1]!Tableau1[[NOM ET PRENOM]:[Salaire NET A PAYER
(Montant Excel)]],25,FALSE)</f>
        <v>899999.96900000004</v>
      </c>
    </row>
    <row r="130" spans="2:7" x14ac:dyDescent="0.3">
      <c r="B130" s="3" t="s">
        <v>11</v>
      </c>
      <c r="C130" s="3" t="s">
        <v>12</v>
      </c>
      <c r="D130" s="4" t="s">
        <v>334</v>
      </c>
      <c r="E130" s="5" t="s">
        <v>335</v>
      </c>
      <c r="F130" s="3" t="s">
        <v>16</v>
      </c>
      <c r="G130" s="15">
        <f>+VLOOKUP(F130,[1]!Tableau1[[NOM ET PRENOM]:[Salaire NET A PAYER
(Montant Excel)]],25,FALSE)</f>
        <v>249956.09599999999</v>
      </c>
    </row>
    <row r="131" spans="2:7" x14ac:dyDescent="0.3">
      <c r="B131" s="3" t="s">
        <v>11</v>
      </c>
      <c r="C131" s="3" t="s">
        <v>12</v>
      </c>
      <c r="D131" s="4" t="s">
        <v>403</v>
      </c>
      <c r="E131" s="5" t="s">
        <v>404</v>
      </c>
      <c r="F131" s="3" t="s">
        <v>21</v>
      </c>
      <c r="G131" s="15">
        <f>+VLOOKUP(F131,[1]!Tableau1[[NOM ET PRENOM]:[Salaire NET A PAYER
(Montant Excel)]],25,FALSE)</f>
        <v>368953.14</v>
      </c>
    </row>
    <row r="132" spans="2:7" x14ac:dyDescent="0.3">
      <c r="B132" s="3" t="s">
        <v>11</v>
      </c>
      <c r="C132" s="3" t="s">
        <v>12</v>
      </c>
      <c r="D132" s="4" t="s">
        <v>80</v>
      </c>
      <c r="E132" s="5" t="s">
        <v>341</v>
      </c>
      <c r="F132" s="3" t="s">
        <v>33</v>
      </c>
      <c r="G132" s="15">
        <f>+VLOOKUP(F132,[1]!Tableau1[[NOM ET PRENOM]:[Salaire NET A PAYER
(Montant Excel)]],25,FALSE)</f>
        <v>349999.89</v>
      </c>
    </row>
    <row r="133" spans="2:7" x14ac:dyDescent="0.3">
      <c r="B133" s="3" t="s">
        <v>11</v>
      </c>
      <c r="C133" s="3" t="s">
        <v>12</v>
      </c>
      <c r="D133" s="4" t="s">
        <v>332</v>
      </c>
      <c r="E133" s="5" t="s">
        <v>333</v>
      </c>
      <c r="F133" s="3" t="s">
        <v>36</v>
      </c>
      <c r="G133" s="15">
        <f>+VLOOKUP(F133,[1]!Tableau1[[NOM ET PRENOM]:[Salaire NET A PAYER
(Montant Excel)]],25,FALSE)</f>
        <v>274500.152</v>
      </c>
    </row>
    <row r="134" spans="2:7" x14ac:dyDescent="0.3">
      <c r="B134" s="3" t="s">
        <v>11</v>
      </c>
      <c r="C134" s="3" t="s">
        <v>12</v>
      </c>
      <c r="D134" s="4" t="s">
        <v>342</v>
      </c>
      <c r="E134" s="5" t="s">
        <v>343</v>
      </c>
      <c r="F134" s="3" t="s">
        <v>43</v>
      </c>
      <c r="G134" s="15">
        <f>+VLOOKUP(F134,[1]!Tableau1[[NOM ET PRENOM]:[Salaire NET A PAYER
(Montant Excel)]],25,FALSE)</f>
        <v>253699.76155</v>
      </c>
    </row>
    <row r="135" spans="2:7" x14ac:dyDescent="0.3">
      <c r="B135" s="3" t="s">
        <v>11</v>
      </c>
      <c r="C135" s="3" t="s">
        <v>12</v>
      </c>
      <c r="D135" s="4" t="s">
        <v>344</v>
      </c>
      <c r="E135" s="5" t="s">
        <v>345</v>
      </c>
      <c r="F135" s="3" t="s">
        <v>66</v>
      </c>
      <c r="G135" s="15">
        <f>+VLOOKUP(F135,[1]!Tableau1[[NOM ET PRENOM]:[Salaire NET A PAYER
(Montant Excel)]],25,FALSE)</f>
        <v>137500.06399999998</v>
      </c>
    </row>
    <row r="136" spans="2:7" x14ac:dyDescent="0.3">
      <c r="B136" s="3" t="s">
        <v>11</v>
      </c>
      <c r="C136" s="3" t="s">
        <v>12</v>
      </c>
      <c r="D136" s="4" t="s">
        <v>330</v>
      </c>
      <c r="E136" s="5" t="s">
        <v>331</v>
      </c>
      <c r="F136" s="3" t="s">
        <v>47</v>
      </c>
      <c r="G136" s="15">
        <f>+VLOOKUP(F136,[1]!Tableau1[[NOM ET PRENOM]:[Salaire NET A PAYER
(Montant Excel)]],25,FALSE)</f>
        <v>250690.96299999999</v>
      </c>
    </row>
    <row r="137" spans="2:7" x14ac:dyDescent="0.3">
      <c r="B137" s="3" t="s">
        <v>11</v>
      </c>
      <c r="C137" s="3" t="s">
        <v>12</v>
      </c>
      <c r="D137" s="4" t="s">
        <v>346</v>
      </c>
      <c r="E137" s="5" t="s">
        <v>347</v>
      </c>
      <c r="F137" s="3" t="s">
        <v>705</v>
      </c>
      <c r="G137" s="15">
        <f>+VLOOKUP(F137,[1]!Tableau1[[NOM ET PRENOM]:[Salaire NET A PAYER
(Montant Excel)]],25,FALSE)</f>
        <v>250000.31299999999</v>
      </c>
    </row>
    <row r="138" spans="2:7" x14ac:dyDescent="0.3">
      <c r="B138" s="3" t="s">
        <v>11</v>
      </c>
      <c r="C138" s="3" t="s">
        <v>12</v>
      </c>
      <c r="D138" s="4" t="s">
        <v>332</v>
      </c>
      <c r="E138" s="5" t="s">
        <v>348</v>
      </c>
      <c r="F138" s="3" t="s">
        <v>192</v>
      </c>
      <c r="G138" s="15">
        <f>+VLOOKUP(F138,[1]!Tableau1[[NOM ET PRENOM]:[Salaire NET A PAYER
(Montant Excel)]],25,FALSE)</f>
        <v>222353.61199999999</v>
      </c>
    </row>
    <row r="139" spans="2:7" s="24" customFormat="1" x14ac:dyDescent="0.3">
      <c r="B139" s="16" t="s">
        <v>11</v>
      </c>
      <c r="C139" s="16" t="s">
        <v>12</v>
      </c>
      <c r="D139" s="17" t="s">
        <v>338</v>
      </c>
      <c r="E139" s="18" t="s">
        <v>339</v>
      </c>
      <c r="F139" s="16" t="s">
        <v>57</v>
      </c>
      <c r="G139" s="19" t="e">
        <f>+VLOOKUP(F139,[1]!Tableau1[[NOM ET PRENOM]:[Salaire NET A PAYER
(Montant Excel)]],25,FALSE)</f>
        <v>#N/A</v>
      </c>
    </row>
    <row r="140" spans="2:7" x14ac:dyDescent="0.3">
      <c r="B140" s="3" t="s">
        <v>11</v>
      </c>
      <c r="C140" s="3" t="s">
        <v>12</v>
      </c>
      <c r="D140" s="4" t="s">
        <v>340</v>
      </c>
      <c r="E140" s="5" t="s">
        <v>349</v>
      </c>
      <c r="F140" s="3" t="s">
        <v>63</v>
      </c>
      <c r="G140" s="15">
        <f>+VLOOKUP(F140,[1]!Tableau1[[NOM ET PRENOM]:[Salaire NET A PAYER
(Montant Excel)]],25,FALSE)</f>
        <v>224925.73800000001</v>
      </c>
    </row>
    <row r="141" spans="2:7" s="24" customFormat="1" x14ac:dyDescent="0.3">
      <c r="B141" s="16" t="s">
        <v>13</v>
      </c>
      <c r="C141" s="16" t="s">
        <v>14</v>
      </c>
      <c r="D141" s="17" t="s">
        <v>353</v>
      </c>
      <c r="E141" s="18" t="s">
        <v>72</v>
      </c>
      <c r="F141" s="16" t="s">
        <v>15</v>
      </c>
      <c r="G141" s="19" t="e">
        <f>+VLOOKUP(F141,[1]!Tableau1[[NOM ET PRENOM]:[Salaire NET A PAYER
(Montant Excel)]],25,FALSE)</f>
        <v>#N/A</v>
      </c>
    </row>
    <row r="142" spans="2:7" x14ac:dyDescent="0.3">
      <c r="B142" s="3" t="s">
        <v>13</v>
      </c>
      <c r="C142" s="3" t="s">
        <v>14</v>
      </c>
      <c r="D142" s="4" t="s">
        <v>298</v>
      </c>
      <c r="E142" s="5" t="s">
        <v>74</v>
      </c>
      <c r="F142" s="3" t="s">
        <v>22</v>
      </c>
      <c r="G142" s="15">
        <f>+VLOOKUP(F142,[1]!Tableau1[[NOM ET PRENOM]:[Salaire NET A PAYER
(Montant Excel)]],25,FALSE)</f>
        <v>261190.96299999999</v>
      </c>
    </row>
    <row r="143" spans="2:7" x14ac:dyDescent="0.3">
      <c r="B143" s="3" t="s">
        <v>13</v>
      </c>
      <c r="C143" s="3" t="s">
        <v>14</v>
      </c>
      <c r="D143" s="4" t="s">
        <v>354</v>
      </c>
      <c r="E143" s="5" t="s">
        <v>194</v>
      </c>
      <c r="F143" s="3" t="s">
        <v>195</v>
      </c>
      <c r="G143" s="15">
        <f>+VLOOKUP(F143,[1]!Tableau1[[NOM ET PRENOM]:[Salaire NET A PAYER
(Montant Excel)]],25,FALSE)</f>
        <v>349500.26500000001</v>
      </c>
    </row>
    <row r="144" spans="2:7" x14ac:dyDescent="0.3">
      <c r="B144" s="3" t="s">
        <v>13</v>
      </c>
      <c r="C144" s="3" t="s">
        <v>14</v>
      </c>
      <c r="D144" s="4" t="s">
        <v>355</v>
      </c>
      <c r="E144" s="5" t="s">
        <v>157</v>
      </c>
      <c r="F144" s="3" t="s">
        <v>147</v>
      </c>
      <c r="G144" s="15">
        <f>+VLOOKUP(F144,[1]!Tableau1[[NOM ET PRENOM]:[Salaire NET A PAYER
(Montant Excel)]],25,FALSE)</f>
        <v>249500.076</v>
      </c>
    </row>
    <row r="145" spans="2:7" x14ac:dyDescent="0.3">
      <c r="B145" s="3" t="s">
        <v>13</v>
      </c>
      <c r="C145" s="3" t="s">
        <v>14</v>
      </c>
      <c r="D145" s="4" t="s">
        <v>356</v>
      </c>
      <c r="E145" s="5" t="s">
        <v>219</v>
      </c>
      <c r="F145" s="3" t="s">
        <v>264</v>
      </c>
      <c r="G145" s="15">
        <f>+VLOOKUP(F145,[1]!Tableau1[[NOM ET PRENOM]:[Salaire NET A PAYER
(Montant Excel)]],25,FALSE)</f>
        <v>66530.759399399423</v>
      </c>
    </row>
    <row r="146" spans="2:7" x14ac:dyDescent="0.3">
      <c r="B146" s="3" t="s">
        <v>126</v>
      </c>
      <c r="C146" s="3" t="s">
        <v>65</v>
      </c>
      <c r="D146" s="4" t="s">
        <v>292</v>
      </c>
      <c r="E146" s="5" t="s">
        <v>127</v>
      </c>
      <c r="F146" s="3" t="s">
        <v>669</v>
      </c>
      <c r="G146" s="15">
        <f>+VLOOKUP(F146,[1]!Tableau1[[NOM ET PRENOM]:[Salaire NET A PAYER
(Montant Excel)]],25,FALSE)</f>
        <v>140343.88319999998</v>
      </c>
    </row>
    <row r="147" spans="2:7" x14ac:dyDescent="0.3">
      <c r="B147" s="3" t="s">
        <v>64</v>
      </c>
      <c r="C147" s="3" t="s">
        <v>65</v>
      </c>
      <c r="D147" s="4" t="s">
        <v>357</v>
      </c>
      <c r="E147" s="5" t="s">
        <v>156</v>
      </c>
      <c r="F147" s="3" t="s">
        <v>193</v>
      </c>
      <c r="G147" s="15">
        <f>+VLOOKUP(F147,[1]!Tableau1[[NOM ET PRENOM]:[Salaire NET A PAYER
(Montant Excel)]],25,FALSE)</f>
        <v>249500.076</v>
      </c>
    </row>
    <row r="148" spans="2:7" x14ac:dyDescent="0.3">
      <c r="B148" s="3" t="s">
        <v>6</v>
      </c>
      <c r="C148" s="3" t="s">
        <v>441</v>
      </c>
      <c r="D148" s="4" t="s">
        <v>292</v>
      </c>
      <c r="E148" s="5" t="s">
        <v>112</v>
      </c>
      <c r="F148" s="3" t="s">
        <v>442</v>
      </c>
      <c r="G148" s="15">
        <f>+VLOOKUP(F148,[1]!Tableau1[[NOM ET PRENOM]:[Salaire NET A PAYER
(Montant Excel)]],25,FALSE)</f>
        <v>200000.40100000001</v>
      </c>
    </row>
    <row r="149" spans="2:7" x14ac:dyDescent="0.3">
      <c r="B149" s="3" t="s">
        <v>432</v>
      </c>
      <c r="C149" s="3" t="s">
        <v>433</v>
      </c>
      <c r="D149" s="4" t="s">
        <v>434</v>
      </c>
      <c r="E149" s="5" t="s">
        <v>435</v>
      </c>
      <c r="F149" s="3" t="s">
        <v>443</v>
      </c>
      <c r="G149" s="15">
        <f>+VLOOKUP(F149,[1]!Tableau1[[NOM ET PRENOM]:[Salaire NET A PAYER
(Montant Excel)]],25,FALSE)</f>
        <v>249500.076</v>
      </c>
    </row>
    <row r="150" spans="2:7" x14ac:dyDescent="0.3">
      <c r="B150" s="3" t="s">
        <v>19</v>
      </c>
      <c r="C150" s="3" t="s">
        <v>20</v>
      </c>
      <c r="D150" s="4" t="s">
        <v>32</v>
      </c>
      <c r="E150" s="5" t="s">
        <v>79</v>
      </c>
      <c r="F150" s="3" t="s">
        <v>444</v>
      </c>
      <c r="G150" s="15">
        <f>+VLOOKUP(F150,[1]!Tableau1[[NOM ET PRENOM]:[Salaire NET A PAYER
(Montant Excel)]],25,FALSE)</f>
        <v>250000.31299999999</v>
      </c>
    </row>
    <row r="151" spans="2:7" x14ac:dyDescent="0.3">
      <c r="B151" s="3" t="s">
        <v>6</v>
      </c>
      <c r="C151" s="3" t="s">
        <v>409</v>
      </c>
      <c r="D151" s="4" t="s">
        <v>8</v>
      </c>
      <c r="E151" s="5" t="s">
        <v>445</v>
      </c>
      <c r="F151" s="12" t="s">
        <v>446</v>
      </c>
      <c r="G151" s="15">
        <f>+VLOOKUP(F151,[1]!Tableau1[[NOM ET PRENOM]:[Salaire NET A PAYER
(Montant Excel)]],25,FALSE)</f>
        <v>137500.06399999998</v>
      </c>
    </row>
    <row r="152" spans="2:7" x14ac:dyDescent="0.3">
      <c r="B152" s="3" t="s">
        <v>17</v>
      </c>
      <c r="C152" s="3" t="s">
        <v>416</v>
      </c>
      <c r="D152" s="4" t="s">
        <v>419</v>
      </c>
      <c r="E152" s="5" t="s">
        <v>420</v>
      </c>
      <c r="F152" s="12" t="s">
        <v>447</v>
      </c>
      <c r="G152" s="15">
        <f>+VLOOKUP(F152,[1]!Tableau1[[NOM ET PRENOM]:[Salaire NET A PAYER
(Montant Excel)]],25,FALSE)</f>
        <v>144768.22399999999</v>
      </c>
    </row>
    <row r="153" spans="2:7" x14ac:dyDescent="0.3">
      <c r="B153" s="3" t="s">
        <v>11</v>
      </c>
      <c r="C153" s="3" t="s">
        <v>12</v>
      </c>
      <c r="D153" s="4" t="s">
        <v>23</v>
      </c>
      <c r="E153" s="5" t="s">
        <v>288</v>
      </c>
      <c r="F153" s="12" t="s">
        <v>448</v>
      </c>
      <c r="G153" s="15">
        <f>+VLOOKUP(F153,[1]!Tableau1[[NOM ET PRENOM]:[Salaire NET A PAYER
(Montant Excel)]],25,FALSE)</f>
        <v>260500.198</v>
      </c>
    </row>
    <row r="154" spans="2:7" x14ac:dyDescent="0.3">
      <c r="B154" s="3" t="s">
        <v>17</v>
      </c>
      <c r="C154" s="3" t="s">
        <v>18</v>
      </c>
      <c r="D154" s="4" t="s">
        <v>360</v>
      </c>
      <c r="E154" s="5" t="s">
        <v>361</v>
      </c>
      <c r="F154" s="12" t="s">
        <v>449</v>
      </c>
      <c r="G154" s="15">
        <f>+VLOOKUP(F154,[1]!Tableau1[[NOM ET PRENOM]:[Salaire NET A PAYER
(Montant Excel)]],25,FALSE)</f>
        <v>248499.83900000001</v>
      </c>
    </row>
    <row r="155" spans="2:7" x14ac:dyDescent="0.3">
      <c r="B155" s="3" t="s">
        <v>11</v>
      </c>
      <c r="C155" s="3" t="s">
        <v>12</v>
      </c>
      <c r="D155" s="4" t="s">
        <v>286</v>
      </c>
      <c r="E155" s="5" t="s">
        <v>287</v>
      </c>
      <c r="F155" s="12" t="s">
        <v>450</v>
      </c>
      <c r="G155" s="15">
        <f>+VLOOKUP(F155,[1]!Tableau1[[NOM ET PRENOM]:[Salaire NET A PAYER
(Montant Excel)]],25,FALSE)</f>
        <v>250000.31299999999</v>
      </c>
    </row>
    <row r="156" spans="2:7" x14ac:dyDescent="0.3">
      <c r="B156" s="3" t="s">
        <v>128</v>
      </c>
      <c r="C156" s="3" t="s">
        <v>413</v>
      </c>
      <c r="D156" s="4" t="s">
        <v>8</v>
      </c>
      <c r="E156" s="5" t="s">
        <v>414</v>
      </c>
      <c r="F156" s="12" t="s">
        <v>451</v>
      </c>
      <c r="G156" s="15">
        <f>+VLOOKUP(F156,[1]!Tableau1[[NOM ET PRENOM]:[Salaire NET A PAYER
(Montant Excel)]],25,FALSE)</f>
        <v>249499.96100000001</v>
      </c>
    </row>
    <row r="157" spans="2:7" x14ac:dyDescent="0.3">
      <c r="B157" s="3" t="s">
        <v>11</v>
      </c>
      <c r="C157" s="3" t="s">
        <v>12</v>
      </c>
      <c r="D157" s="4" t="s">
        <v>411</v>
      </c>
      <c r="E157" s="5" t="s">
        <v>429</v>
      </c>
      <c r="F157" s="12" t="s">
        <v>452</v>
      </c>
      <c r="G157" s="15">
        <f>+VLOOKUP(F157,[1]!Tableau1[[NOM ET PRENOM]:[Salaire NET A PAYER
(Montant Excel)]],25,FALSE)</f>
        <v>250000.31299999999</v>
      </c>
    </row>
    <row r="158" spans="2:7" x14ac:dyDescent="0.3">
      <c r="B158" s="3" t="s">
        <v>11</v>
      </c>
      <c r="C158" s="3" t="s">
        <v>12</v>
      </c>
      <c r="D158" s="4" t="s">
        <v>350</v>
      </c>
      <c r="E158" s="5" t="s">
        <v>453</v>
      </c>
      <c r="F158" s="12" t="s">
        <v>454</v>
      </c>
      <c r="G158" s="15">
        <f>+VLOOKUP(F158,[1]!Tableau1[[NOM ET PRENOM]:[Salaire NET A PAYER
(Montant Excel)]],25,FALSE)</f>
        <v>249999.51699999999</v>
      </c>
    </row>
    <row r="159" spans="2:7" x14ac:dyDescent="0.3">
      <c r="B159" s="3" t="s">
        <v>13</v>
      </c>
      <c r="C159" s="3" t="s">
        <v>14</v>
      </c>
      <c r="D159" s="4" t="s">
        <v>358</v>
      </c>
      <c r="E159" s="5" t="s">
        <v>359</v>
      </c>
      <c r="F159" s="12" t="s">
        <v>455</v>
      </c>
      <c r="G159" s="15">
        <f>+VLOOKUP(F159,[1]!Tableau1[[NOM ET PRENOM]:[Salaire NET A PAYER
(Montant Excel)]],25,FALSE)</f>
        <v>249500.00699999998</v>
      </c>
    </row>
    <row r="160" spans="2:7" x14ac:dyDescent="0.3">
      <c r="B160" s="3" t="s">
        <v>11</v>
      </c>
      <c r="C160" s="3" t="s">
        <v>12</v>
      </c>
      <c r="D160" s="4" t="s">
        <v>427</v>
      </c>
      <c r="E160" s="5" t="s">
        <v>428</v>
      </c>
      <c r="F160" s="12" t="s">
        <v>706</v>
      </c>
      <c r="G160" s="15">
        <f>+VLOOKUP(F160,[1]!Tableau1[[NOM ET PRENOM]:[Salaire NET A PAYER
(Montant Excel)]],25,FALSE)</f>
        <v>250000.198</v>
      </c>
    </row>
    <row r="161" spans="2:7" x14ac:dyDescent="0.3">
      <c r="B161" s="3" t="s">
        <v>13</v>
      </c>
      <c r="C161" s="3" t="s">
        <v>14</v>
      </c>
      <c r="D161" s="4" t="s">
        <v>44</v>
      </c>
      <c r="E161" s="5" t="s">
        <v>362</v>
      </c>
      <c r="F161" s="12" t="s">
        <v>707</v>
      </c>
      <c r="G161" s="15">
        <f>+VLOOKUP(F161,[1]!Tableau1[[NOM ET PRENOM]:[Salaire NET A PAYER
(Montant Excel)]],25,FALSE)</f>
        <v>249500.076</v>
      </c>
    </row>
    <row r="162" spans="2:7" x14ac:dyDescent="0.3">
      <c r="B162" s="3" t="s">
        <v>13</v>
      </c>
      <c r="C162" s="3" t="s">
        <v>14</v>
      </c>
      <c r="D162" s="4" t="s">
        <v>279</v>
      </c>
      <c r="E162" s="5" t="s">
        <v>280</v>
      </c>
      <c r="F162" s="12" t="s">
        <v>708</v>
      </c>
      <c r="G162" s="15">
        <f>+VLOOKUP(F162,[1]!Tableau1[[NOM ET PRENOM]:[Salaire NET A PAYER
(Montant Excel)]],25,FALSE)</f>
        <v>250000.31299999999</v>
      </c>
    </row>
    <row r="163" spans="2:7" x14ac:dyDescent="0.3">
      <c r="B163" s="3" t="s">
        <v>30</v>
      </c>
      <c r="C163" s="3" t="s">
        <v>31</v>
      </c>
      <c r="D163" s="4" t="s">
        <v>281</v>
      </c>
      <c r="E163" s="5" t="s">
        <v>282</v>
      </c>
      <c r="F163" s="12" t="s">
        <v>709</v>
      </c>
      <c r="G163" s="15">
        <f>+VLOOKUP(F163,[1]!Tableau1[[NOM ET PRENOM]:[Salaire NET A PAYER
(Montant Excel)]],25,FALSE)</f>
        <v>249000.321</v>
      </c>
    </row>
    <row r="164" spans="2:7" x14ac:dyDescent="0.3">
      <c r="B164" s="3" t="s">
        <v>17</v>
      </c>
      <c r="C164" s="3" t="s">
        <v>18</v>
      </c>
      <c r="D164" s="4" t="s">
        <v>283</v>
      </c>
      <c r="E164" s="5" t="s">
        <v>284</v>
      </c>
      <c r="F164" s="12" t="s">
        <v>456</v>
      </c>
      <c r="G164" s="15">
        <f>+VLOOKUP(F164,[1]!Tableau1[[NOM ET PRENOM]:[Salaire NET A PAYER
(Montant Excel)]],25,FALSE)</f>
        <v>250000.31299999999</v>
      </c>
    </row>
    <row r="165" spans="2:7" x14ac:dyDescent="0.3">
      <c r="B165" s="3" t="s">
        <v>55</v>
      </c>
      <c r="C165" s="3" t="s">
        <v>56</v>
      </c>
      <c r="D165" s="4" t="s">
        <v>32</v>
      </c>
      <c r="E165" s="5" t="s">
        <v>285</v>
      </c>
      <c r="F165" s="12" t="s">
        <v>457</v>
      </c>
      <c r="G165" s="15">
        <f>+VLOOKUP(F165,[1]!Tableau1[[NOM ET PRENOM]:[Salaire NET A PAYER
(Montant Excel)]],25,FALSE)</f>
        <v>250000.31299999999</v>
      </c>
    </row>
    <row r="166" spans="2:7" x14ac:dyDescent="0.3">
      <c r="B166" s="3" t="s">
        <v>13</v>
      </c>
      <c r="C166" s="3" t="s">
        <v>14</v>
      </c>
      <c r="D166" s="4" t="s">
        <v>351</v>
      </c>
      <c r="E166" s="5" t="s">
        <v>352</v>
      </c>
      <c r="F166" s="12" t="s">
        <v>458</v>
      </c>
      <c r="G166" s="15">
        <f>+VLOOKUP(F166,[1]!Tableau1[[NOM ET PRENOM]:[Salaire NET A PAYER
(Montant Excel)]],25,FALSE)</f>
        <v>249500.076</v>
      </c>
    </row>
    <row r="167" spans="2:7" x14ac:dyDescent="0.3">
      <c r="B167" s="3" t="s">
        <v>6</v>
      </c>
      <c r="C167" s="3" t="s">
        <v>441</v>
      </c>
      <c r="D167" s="4" t="s">
        <v>266</v>
      </c>
      <c r="E167" s="5" t="s">
        <v>275</v>
      </c>
      <c r="F167" s="12" t="s">
        <v>265</v>
      </c>
      <c r="G167" s="15">
        <f>+VLOOKUP(F167,[1]!Tableau1[[NOM ET PRENOM]:[Salaire NET A PAYER
(Montant Excel)]],25,FALSE)</f>
        <v>249500.076</v>
      </c>
    </row>
    <row r="168" spans="2:7" x14ac:dyDescent="0.3">
      <c r="B168" s="3" t="s">
        <v>37</v>
      </c>
      <c r="C168" s="3" t="s">
        <v>38</v>
      </c>
      <c r="D168" s="4" t="s">
        <v>70</v>
      </c>
      <c r="E168" s="5" t="s">
        <v>278</v>
      </c>
      <c r="F168" s="12" t="s">
        <v>459</v>
      </c>
      <c r="G168" s="15">
        <f>+VLOOKUP(F168,[1]!Tableau1[[NOM ET PRENOM]:[Salaire NET A PAYER
(Montant Excel)]],25,FALSE)</f>
        <v>250000.31299999999</v>
      </c>
    </row>
    <row r="169" spans="2:7" s="24" customFormat="1" x14ac:dyDescent="0.3">
      <c r="B169" s="16" t="s">
        <v>17</v>
      </c>
      <c r="C169" s="16" t="s">
        <v>416</v>
      </c>
      <c r="D169" s="17" t="s">
        <v>417</v>
      </c>
      <c r="E169" s="18" t="s">
        <v>418</v>
      </c>
      <c r="F169" s="23" t="s">
        <v>710</v>
      </c>
      <c r="G169" s="19" t="e">
        <f>+VLOOKUP(F169,[1]!Tableau1[[NOM ET PRENOM]:[Salaire NET A PAYER
(Montant Excel)]],25,FALSE)</f>
        <v>#N/A</v>
      </c>
    </row>
    <row r="170" spans="2:7" s="24" customFormat="1" x14ac:dyDescent="0.3">
      <c r="B170" s="16" t="s">
        <v>58</v>
      </c>
      <c r="C170" s="16" t="s">
        <v>59</v>
      </c>
      <c r="D170" s="17" t="s">
        <v>393</v>
      </c>
      <c r="E170" s="18" t="s">
        <v>426</v>
      </c>
      <c r="F170" s="23" t="s">
        <v>460</v>
      </c>
      <c r="G170" s="19" t="e">
        <f>+VLOOKUP(F170,[1]!Tableau1[[NOM ET PRENOM]:[Salaire NET A PAYER
(Montant Excel)]],25,FALSE)</f>
        <v>#N/A</v>
      </c>
    </row>
    <row r="171" spans="2:7" x14ac:dyDescent="0.3">
      <c r="B171" s="3" t="s">
        <v>58</v>
      </c>
      <c r="C171" s="3" t="s">
        <v>59</v>
      </c>
      <c r="D171" s="4" t="s">
        <v>377</v>
      </c>
      <c r="E171" s="5" t="s">
        <v>410</v>
      </c>
      <c r="F171" s="12" t="s">
        <v>461</v>
      </c>
      <c r="G171" s="15">
        <f>+VLOOKUP(F171,[1]!Tableau1[[NOM ET PRENOM]:[Salaire NET A PAYER
(Montant Excel)]],25,FALSE)</f>
        <v>250000.31299999999</v>
      </c>
    </row>
    <row r="172" spans="2:7" x14ac:dyDescent="0.3">
      <c r="B172" s="3" t="s">
        <v>58</v>
      </c>
      <c r="C172" s="3" t="s">
        <v>59</v>
      </c>
      <c r="D172" s="4" t="s">
        <v>393</v>
      </c>
      <c r="E172" s="5" t="s">
        <v>412</v>
      </c>
      <c r="F172" s="12" t="s">
        <v>462</v>
      </c>
      <c r="G172" s="15">
        <f>+VLOOKUP(F172,[1]!Tableau1[[NOM ET PRENOM]:[Salaire NET A PAYER
(Montant Excel)]],25,FALSE)</f>
        <v>250000.31299999999</v>
      </c>
    </row>
    <row r="173" spans="2:7" x14ac:dyDescent="0.3">
      <c r="B173" s="3" t="s">
        <v>6</v>
      </c>
      <c r="C173" s="3" t="s">
        <v>409</v>
      </c>
      <c r="D173" s="4" t="s">
        <v>8</v>
      </c>
      <c r="E173" s="5" t="s">
        <v>463</v>
      </c>
      <c r="F173" s="12" t="s">
        <v>464</v>
      </c>
      <c r="G173" s="15">
        <f>+VLOOKUP(F173,[1]!Tableau1[[NOM ET PRENOM]:[Salaire NET A PAYER
(Montant Excel)]],25,FALSE)</f>
        <v>150000</v>
      </c>
    </row>
    <row r="174" spans="2:7" x14ac:dyDescent="0.3">
      <c r="B174" s="3" t="s">
        <v>269</v>
      </c>
      <c r="C174" s="3" t="s">
        <v>406</v>
      </c>
      <c r="D174" s="4" t="s">
        <v>407</v>
      </c>
      <c r="E174" s="5" t="s">
        <v>408</v>
      </c>
      <c r="F174" s="12" t="s">
        <v>465</v>
      </c>
      <c r="G174" s="15">
        <f>+VLOOKUP(F174,[1]!Tableau1[[NOM ET PRENOM]:[Salaire NET A PAYER
(Montant Excel)]],25,FALSE)</f>
        <v>249000.321</v>
      </c>
    </row>
    <row r="175" spans="2:7" x14ac:dyDescent="0.3">
      <c r="B175" s="3" t="s">
        <v>6</v>
      </c>
      <c r="C175" s="3" t="s">
        <v>441</v>
      </c>
      <c r="D175" s="4" t="s">
        <v>8</v>
      </c>
      <c r="E175" s="5">
        <v>111512943153</v>
      </c>
      <c r="F175" s="3" t="s">
        <v>466</v>
      </c>
      <c r="G175" s="15">
        <v>100000</v>
      </c>
    </row>
    <row r="176" spans="2:7" x14ac:dyDescent="0.3">
      <c r="B176" s="3" t="s">
        <v>6</v>
      </c>
      <c r="C176" s="3" t="s">
        <v>409</v>
      </c>
      <c r="D176" s="4" t="s">
        <v>8</v>
      </c>
      <c r="E176" s="5" t="s">
        <v>467</v>
      </c>
      <c r="F176" s="3" t="s">
        <v>668</v>
      </c>
      <c r="G176" s="15">
        <f>+VLOOKUP(F176,[1]!Tableau1[[NOM ET PRENOM]:[Salaire NET A PAYER
(Montant Excel)]],25,FALSE)</f>
        <v>100000</v>
      </c>
    </row>
    <row r="177" spans="2:7" x14ac:dyDescent="0.3">
      <c r="B177" s="20" t="s">
        <v>6</v>
      </c>
      <c r="C177" s="20" t="s">
        <v>409</v>
      </c>
      <c r="D177" s="21" t="s">
        <v>8</v>
      </c>
      <c r="E177" s="22">
        <v>111093526596</v>
      </c>
      <c r="F177" s="20" t="s">
        <v>468</v>
      </c>
      <c r="G177" s="15">
        <f>+VLOOKUP(F177,[1]!Tableau1[[NOM ET PRENOM]:[Salaire NET A PAYER
(Montant Excel)]],25,FALSE)</f>
        <v>90700</v>
      </c>
    </row>
    <row r="178" spans="2:7" s="24" customFormat="1" x14ac:dyDescent="0.3">
      <c r="B178" s="16" t="s">
        <v>246</v>
      </c>
      <c r="C178" s="16" t="s">
        <v>409</v>
      </c>
      <c r="D178" s="17" t="s">
        <v>8</v>
      </c>
      <c r="E178" s="18" t="s">
        <v>469</v>
      </c>
      <c r="F178" s="16" t="s">
        <v>470</v>
      </c>
      <c r="G178" s="19" t="e">
        <f>+VLOOKUP(F178,[1]!Tableau1[[NOM ET PRENOM]:[Salaire NET A PAYER
(Montant Excel)]],25,FALSE)</f>
        <v>#N/A</v>
      </c>
    </row>
    <row r="179" spans="2:7" x14ac:dyDescent="0.3">
      <c r="B179" s="3" t="s">
        <v>17</v>
      </c>
      <c r="C179" s="3" t="s">
        <v>416</v>
      </c>
      <c r="D179" s="4" t="s">
        <v>419</v>
      </c>
      <c r="E179" s="5" t="s">
        <v>471</v>
      </c>
      <c r="F179" s="3" t="s">
        <v>472</v>
      </c>
      <c r="G179" s="15">
        <f>+VLOOKUP(F179,[1]!Tableau1[[NOM ET PRENOM]:[Salaire NET A PAYER
(Montant Excel)]],25,FALSE)</f>
        <v>159999.65299999999</v>
      </c>
    </row>
    <row r="180" spans="2:7" x14ac:dyDescent="0.3">
      <c r="B180" s="3" t="s">
        <v>128</v>
      </c>
      <c r="C180" s="3" t="s">
        <v>413</v>
      </c>
      <c r="D180" s="4" t="s">
        <v>473</v>
      </c>
      <c r="E180" s="5" t="s">
        <v>474</v>
      </c>
      <c r="F180" s="3" t="s">
        <v>475</v>
      </c>
      <c r="G180" s="15">
        <f>+VLOOKUP(F180,[1]!Tableau1[[NOM ET PRENOM]:[Salaire NET A PAYER
(Montant Excel)]],25,FALSE)</f>
        <v>159999.65299999999</v>
      </c>
    </row>
    <row r="181" spans="2:7" x14ac:dyDescent="0.3">
      <c r="B181" s="3" t="s">
        <v>6</v>
      </c>
      <c r="C181" s="3" t="s">
        <v>409</v>
      </c>
      <c r="D181" s="4" t="s">
        <v>8</v>
      </c>
      <c r="E181" s="5" t="s">
        <v>477</v>
      </c>
      <c r="F181" s="3" t="s">
        <v>478</v>
      </c>
      <c r="G181" s="15">
        <f>+VLOOKUP(F181,[1]!Tableau1[[NOM ET PRENOM]:[Salaire NET A PAYER
(Montant Excel)]],25,FALSE)</f>
        <v>137500.136</v>
      </c>
    </row>
    <row r="182" spans="2:7" x14ac:dyDescent="0.3">
      <c r="B182" s="3" t="s">
        <v>13</v>
      </c>
      <c r="C182" s="3" t="s">
        <v>14</v>
      </c>
      <c r="D182" s="4" t="s">
        <v>479</v>
      </c>
      <c r="E182" s="5" t="s">
        <v>480</v>
      </c>
      <c r="F182" s="3" t="s">
        <v>481</v>
      </c>
      <c r="G182" s="15">
        <f>+VLOOKUP(F182,[1]!Tableau1[[NOM ET PRENOM]:[Salaire NET A PAYER
(Montant Excel)]],25,FALSE)</f>
        <v>159999.65299999999</v>
      </c>
    </row>
    <row r="183" spans="2:7" x14ac:dyDescent="0.3">
      <c r="B183" s="3" t="s">
        <v>6</v>
      </c>
      <c r="C183" s="3" t="s">
        <v>409</v>
      </c>
      <c r="D183" s="4" t="s">
        <v>8</v>
      </c>
      <c r="E183" s="5" t="s">
        <v>482</v>
      </c>
      <c r="F183" s="3" t="s">
        <v>483</v>
      </c>
      <c r="G183" s="15">
        <f>+VLOOKUP(F183,[1]!Tableau1[[NOM ET PRENOM]:[Salaire NET A PAYER
(Montant Excel)]],25,FALSE)</f>
        <v>164949.6361</v>
      </c>
    </row>
    <row r="184" spans="2:7" x14ac:dyDescent="0.3">
      <c r="B184" s="3" t="s">
        <v>37</v>
      </c>
      <c r="C184" s="3" t="s">
        <v>38</v>
      </c>
      <c r="D184" s="4" t="s">
        <v>484</v>
      </c>
      <c r="E184" s="5" t="s">
        <v>485</v>
      </c>
      <c r="F184" s="3" t="s">
        <v>486</v>
      </c>
      <c r="G184" s="15">
        <f>+VLOOKUP(F184,[1]!Tableau1[[NOM ET PRENOM]:[Salaire NET A PAYER
(Montant Excel)]],25,FALSE)</f>
        <v>159499.73800000001</v>
      </c>
    </row>
    <row r="185" spans="2:7" x14ac:dyDescent="0.3">
      <c r="B185" s="3" t="s">
        <v>11</v>
      </c>
      <c r="C185" s="3" t="s">
        <v>12</v>
      </c>
      <c r="D185" s="4" t="s">
        <v>487</v>
      </c>
      <c r="E185" s="5" t="s">
        <v>488</v>
      </c>
      <c r="F185" s="3" t="s">
        <v>489</v>
      </c>
      <c r="G185" s="15">
        <f>+VLOOKUP(F185,[1]!Tableau1[[NOM ET PRENOM]:[Salaire NET A PAYER
(Montant Excel)]],25,FALSE)</f>
        <v>229500.37099999998</v>
      </c>
    </row>
    <row r="186" spans="2:7" x14ac:dyDescent="0.3">
      <c r="B186" s="3" t="s">
        <v>17</v>
      </c>
      <c r="C186" s="3" t="s">
        <v>416</v>
      </c>
      <c r="D186" s="4" t="s">
        <v>419</v>
      </c>
      <c r="E186" s="5" t="s">
        <v>490</v>
      </c>
      <c r="F186" s="3" t="s">
        <v>491</v>
      </c>
      <c r="G186" s="15">
        <f>+VLOOKUP(F186,[1]!Tableau1[[NOM ET PRENOM]:[Salaire NET A PAYER
(Montant Excel)]],25,FALSE)</f>
        <v>159999.65299999999</v>
      </c>
    </row>
    <row r="187" spans="2:7" x14ac:dyDescent="0.3">
      <c r="B187" s="20" t="s">
        <v>11</v>
      </c>
      <c r="C187" s="20" t="s">
        <v>12</v>
      </c>
      <c r="D187" s="21" t="s">
        <v>492</v>
      </c>
      <c r="E187" s="22" t="s">
        <v>493</v>
      </c>
      <c r="F187" s="20" t="s">
        <v>494</v>
      </c>
      <c r="G187" s="15">
        <f>+VLOOKUP(F187,[1]!Tableau1[[NOM ET PRENOM]:[Salaire NET A PAYER
(Montant Excel)]],25,FALSE)</f>
        <v>159499.73800000001</v>
      </c>
    </row>
    <row r="188" spans="2:7" x14ac:dyDescent="0.3">
      <c r="B188" s="3" t="s">
        <v>17</v>
      </c>
      <c r="C188" s="3" t="s">
        <v>416</v>
      </c>
      <c r="D188" s="4" t="s">
        <v>419</v>
      </c>
      <c r="E188" s="5" t="s">
        <v>495</v>
      </c>
      <c r="F188" s="3" t="s">
        <v>496</v>
      </c>
      <c r="G188" s="15">
        <f>+VLOOKUP(F188,[1]!Tableau1[[NOM ET PRENOM]:[Salaire NET A PAYER
(Montant Excel)]],25,FALSE)</f>
        <v>159999.65299999999</v>
      </c>
    </row>
    <row r="189" spans="2:7" x14ac:dyDescent="0.3">
      <c r="B189" s="3" t="s">
        <v>128</v>
      </c>
      <c r="C189" s="3" t="s">
        <v>413</v>
      </c>
      <c r="D189" s="4" t="s">
        <v>476</v>
      </c>
      <c r="E189" s="5" t="s">
        <v>497</v>
      </c>
      <c r="F189" s="3" t="s">
        <v>498</v>
      </c>
      <c r="G189" s="15">
        <f>+VLOOKUP(F189,[1]!Tableau1[[NOM ET PRENOM]:[Salaire NET A PAYER
(Montant Excel)]],25,FALSE)</f>
        <v>159999.65299999999</v>
      </c>
    </row>
    <row r="190" spans="2:7" x14ac:dyDescent="0.3">
      <c r="B190" s="3" t="s">
        <v>11</v>
      </c>
      <c r="C190" s="3" t="s">
        <v>12</v>
      </c>
      <c r="D190" s="4" t="s">
        <v>501</v>
      </c>
      <c r="E190" s="5" t="s">
        <v>502</v>
      </c>
      <c r="F190" s="3" t="s">
        <v>503</v>
      </c>
      <c r="G190" s="15">
        <f>+VLOOKUP(F190,[1]!Tableau1[[NOM ET PRENOM]:[Salaire NET A PAYER
(Montant Excel)]],25,FALSE)</f>
        <v>153649.74673333333</v>
      </c>
    </row>
    <row r="191" spans="2:7" x14ac:dyDescent="0.3">
      <c r="B191" s="3" t="s">
        <v>40</v>
      </c>
      <c r="C191" s="3" t="s">
        <v>499</v>
      </c>
      <c r="D191" s="4" t="s">
        <v>397</v>
      </c>
      <c r="E191" s="5" t="s">
        <v>504</v>
      </c>
      <c r="F191" s="3" t="s">
        <v>505</v>
      </c>
      <c r="G191" s="15">
        <f>+VLOOKUP(F191,[1]!Tableau1[[NOM ET PRENOM]:[Salaire NET A PAYER
(Montant Excel)]],25,FALSE)</f>
        <v>229999.81599999999</v>
      </c>
    </row>
    <row r="192" spans="2:7" x14ac:dyDescent="0.3">
      <c r="B192" s="3" t="s">
        <v>17</v>
      </c>
      <c r="C192" s="3" t="s">
        <v>416</v>
      </c>
      <c r="D192" s="4" t="s">
        <v>419</v>
      </c>
      <c r="E192" s="5" t="s">
        <v>506</v>
      </c>
      <c r="F192" s="3" t="s">
        <v>507</v>
      </c>
      <c r="G192" s="15">
        <f>+VLOOKUP(F192,[1]!Tableau1[[NOM ET PRENOM]:[Salaire NET A PAYER
(Montant Excel)]],25,FALSE)</f>
        <v>159999.65299999999</v>
      </c>
    </row>
    <row r="193" spans="2:7" x14ac:dyDescent="0.3">
      <c r="B193" s="3" t="s">
        <v>6</v>
      </c>
      <c r="C193" s="3" t="s">
        <v>409</v>
      </c>
      <c r="D193" s="4" t="s">
        <v>8</v>
      </c>
      <c r="E193" s="5" t="s">
        <v>638</v>
      </c>
      <c r="F193" s="3" t="s">
        <v>508</v>
      </c>
      <c r="G193" s="15">
        <f>+VLOOKUP(F193,[1]!Tableau1[[NOM ET PRENOM]:[Salaire NET A PAYER
(Montant Excel)]],25,FALSE)</f>
        <v>100000</v>
      </c>
    </row>
    <row r="194" spans="2:7" x14ac:dyDescent="0.3">
      <c r="B194" s="3" t="s">
        <v>6</v>
      </c>
      <c r="C194" s="3" t="s">
        <v>409</v>
      </c>
      <c r="D194" s="4" t="s">
        <v>8</v>
      </c>
      <c r="E194" s="5" t="s">
        <v>509</v>
      </c>
      <c r="F194" s="3" t="s">
        <v>510</v>
      </c>
      <c r="G194" s="15">
        <f>+VLOOKUP(F194,[1]!Tableau1[[NOM ET PRENOM]:[Salaire NET A PAYER
(Montant Excel)]],25,FALSE)</f>
        <v>100000</v>
      </c>
    </row>
    <row r="195" spans="2:7" x14ac:dyDescent="0.3">
      <c r="B195" s="3" t="s">
        <v>17</v>
      </c>
      <c r="C195" s="3" t="s">
        <v>416</v>
      </c>
      <c r="D195" s="4" t="s">
        <v>419</v>
      </c>
      <c r="E195" s="5" t="s">
        <v>511</v>
      </c>
      <c r="F195" s="3" t="s">
        <v>512</v>
      </c>
      <c r="G195" s="15">
        <f>+VLOOKUP(F195,[1]!Tableau1[[NOM ET PRENOM]:[Salaire NET A PAYER
(Montant Excel)]],25,FALSE)</f>
        <v>159499.73800000001</v>
      </c>
    </row>
    <row r="196" spans="2:7" x14ac:dyDescent="0.3">
      <c r="B196" s="3" t="s">
        <v>6</v>
      </c>
      <c r="C196" s="3" t="s">
        <v>409</v>
      </c>
      <c r="D196" s="4" t="s">
        <v>8</v>
      </c>
      <c r="E196" s="5" t="s">
        <v>513</v>
      </c>
      <c r="F196" s="3" t="s">
        <v>514</v>
      </c>
      <c r="G196" s="15">
        <f>+VLOOKUP(F196,[1]!Tableau1[[NOM ET PRENOM]:[Salaire NET A PAYER
(Montant Excel)]],25,FALSE)</f>
        <v>159999.65299999999</v>
      </c>
    </row>
    <row r="197" spans="2:7" x14ac:dyDescent="0.3">
      <c r="B197" s="3" t="s">
        <v>9</v>
      </c>
      <c r="C197" s="3" t="s">
        <v>10</v>
      </c>
      <c r="D197" s="4" t="s">
        <v>515</v>
      </c>
      <c r="E197" s="5" t="s">
        <v>516</v>
      </c>
      <c r="F197" s="3" t="s">
        <v>701</v>
      </c>
      <c r="G197" s="15">
        <f>+VLOOKUP(F197,[1]!Tableau1[[NOM ET PRENOM]:[Salaire NET A PAYER
(Montant Excel)]],25,FALSE)</f>
        <v>158499.73800000001</v>
      </c>
    </row>
    <row r="198" spans="2:7" x14ac:dyDescent="0.3">
      <c r="B198" s="3" t="s">
        <v>17</v>
      </c>
      <c r="C198" s="3" t="s">
        <v>416</v>
      </c>
      <c r="D198" s="4" t="s">
        <v>419</v>
      </c>
      <c r="E198" s="5" t="s">
        <v>517</v>
      </c>
      <c r="F198" s="3" t="s">
        <v>518</v>
      </c>
      <c r="G198" s="15">
        <f>+VLOOKUP(F198,[1]!Tableau1[[NOM ET PRENOM]:[Salaire NET A PAYER
(Montant Excel)]],25,FALSE)</f>
        <v>159999.65299999999</v>
      </c>
    </row>
    <row r="199" spans="2:7" x14ac:dyDescent="0.3">
      <c r="B199" s="3" t="s">
        <v>128</v>
      </c>
      <c r="C199" s="3" t="s">
        <v>413</v>
      </c>
      <c r="D199" s="4" t="s">
        <v>473</v>
      </c>
      <c r="E199" s="5" t="s">
        <v>519</v>
      </c>
      <c r="F199" s="3" t="s">
        <v>520</v>
      </c>
      <c r="G199" s="15">
        <f>+VLOOKUP(F199,[1]!Tableau1[[NOM ET PRENOM]:[Salaire NET A PAYER
(Montant Excel)]],25,FALSE)</f>
        <v>159999.65299999999</v>
      </c>
    </row>
    <row r="200" spans="2:7" x14ac:dyDescent="0.3">
      <c r="B200" s="3" t="s">
        <v>17</v>
      </c>
      <c r="C200" s="3" t="s">
        <v>416</v>
      </c>
      <c r="D200" s="4" t="s">
        <v>419</v>
      </c>
      <c r="E200" s="5" t="s">
        <v>521</v>
      </c>
      <c r="F200" s="3" t="s">
        <v>522</v>
      </c>
      <c r="G200" s="15">
        <f>+VLOOKUP(F200,[1]!Tableau1[[NOM ET PRENOM]:[Salaire NET A PAYER
(Montant Excel)]],25,FALSE)</f>
        <v>159999.65299999999</v>
      </c>
    </row>
    <row r="201" spans="2:7" x14ac:dyDescent="0.3">
      <c r="B201" s="3" t="s">
        <v>17</v>
      </c>
      <c r="C201" s="3" t="s">
        <v>416</v>
      </c>
      <c r="D201" s="4" t="s">
        <v>419</v>
      </c>
      <c r="E201" s="5" t="s">
        <v>523</v>
      </c>
      <c r="F201" s="3" t="s">
        <v>524</v>
      </c>
      <c r="G201" s="15">
        <f>+VLOOKUP(F201,[1]!Tableau1[[NOM ET PRENOM]:[Salaire NET A PAYER
(Montant Excel)]],25,FALSE)</f>
        <v>159499.73800000001</v>
      </c>
    </row>
    <row r="202" spans="2:7" x14ac:dyDescent="0.3">
      <c r="B202" s="3" t="s">
        <v>17</v>
      </c>
      <c r="C202" s="3" t="s">
        <v>416</v>
      </c>
      <c r="D202" s="4" t="s">
        <v>419</v>
      </c>
      <c r="E202" s="5" t="s">
        <v>525</v>
      </c>
      <c r="F202" s="3" t="s">
        <v>526</v>
      </c>
      <c r="G202" s="15">
        <f>+VLOOKUP(F202,[1]!Tableau1[[NOM ET PRENOM]:[Salaire NET A PAYER
(Montant Excel)]],25,FALSE)</f>
        <v>159999.65299999999</v>
      </c>
    </row>
    <row r="203" spans="2:7" x14ac:dyDescent="0.3">
      <c r="B203" s="3" t="s">
        <v>19</v>
      </c>
      <c r="C203" s="3" t="s">
        <v>20</v>
      </c>
      <c r="D203" s="4" t="s">
        <v>527</v>
      </c>
      <c r="E203" s="5" t="s">
        <v>528</v>
      </c>
      <c r="F203" s="3" t="s">
        <v>529</v>
      </c>
      <c r="G203" s="15">
        <f>+VLOOKUP(F203,[1]!Tableau1[[NOM ET PRENOM]:[Salaire NET A PAYER
(Montant Excel)]],25,FALSE)</f>
        <v>159999.65299999999</v>
      </c>
    </row>
    <row r="204" spans="2:7" x14ac:dyDescent="0.3">
      <c r="B204" s="3" t="s">
        <v>17</v>
      </c>
      <c r="C204" s="3" t="s">
        <v>416</v>
      </c>
      <c r="D204" s="4" t="s">
        <v>419</v>
      </c>
      <c r="E204" s="5" t="s">
        <v>530</v>
      </c>
      <c r="F204" s="3" t="s">
        <v>531</v>
      </c>
      <c r="G204" s="15">
        <f>+VLOOKUP(F204,[1]!Tableau1[[NOM ET PRENOM]:[Salaire NET A PAYER
(Montant Excel)]],25,FALSE)</f>
        <v>159999.65299999999</v>
      </c>
    </row>
    <row r="205" spans="2:7" x14ac:dyDescent="0.3">
      <c r="B205" s="3" t="s">
        <v>17</v>
      </c>
      <c r="C205" s="3" t="s">
        <v>416</v>
      </c>
      <c r="D205" s="4" t="s">
        <v>419</v>
      </c>
      <c r="E205" s="5" t="s">
        <v>532</v>
      </c>
      <c r="F205" s="3" t="s">
        <v>533</v>
      </c>
      <c r="G205" s="15">
        <f>+VLOOKUP(F205,[1]!Tableau1[[NOM ET PRENOM]:[Salaire NET A PAYER
(Montant Excel)]],25,FALSE)</f>
        <v>159499.73800000001</v>
      </c>
    </row>
    <row r="206" spans="2:7" x14ac:dyDescent="0.3">
      <c r="B206" s="3" t="s">
        <v>17</v>
      </c>
      <c r="C206" s="3" t="s">
        <v>416</v>
      </c>
      <c r="D206" s="4" t="s">
        <v>419</v>
      </c>
      <c r="E206" s="5" t="s">
        <v>534</v>
      </c>
      <c r="F206" s="3" t="s">
        <v>535</v>
      </c>
      <c r="G206" s="15">
        <f>+VLOOKUP(F206,[1]!Tableau1[[NOM ET PRENOM]:[Salaire NET A PAYER
(Montant Excel)]],25,FALSE)</f>
        <v>158999.73800000001</v>
      </c>
    </row>
    <row r="207" spans="2:7" x14ac:dyDescent="0.3">
      <c r="B207" s="3" t="s">
        <v>17</v>
      </c>
      <c r="C207" s="3" t="s">
        <v>416</v>
      </c>
      <c r="D207" s="4" t="s">
        <v>419</v>
      </c>
      <c r="E207" s="5" t="s">
        <v>536</v>
      </c>
      <c r="F207" s="3" t="s">
        <v>537</v>
      </c>
      <c r="G207" s="15">
        <f>+VLOOKUP(F207,[1]!Tableau1[[NOM ET PRENOM]:[Salaire NET A PAYER
(Montant Excel)]],25,FALSE)</f>
        <v>159499.73800000001</v>
      </c>
    </row>
    <row r="208" spans="2:7" x14ac:dyDescent="0.3">
      <c r="B208" s="3" t="s">
        <v>30</v>
      </c>
      <c r="C208" s="3" t="s">
        <v>31</v>
      </c>
      <c r="D208" s="4" t="s">
        <v>538</v>
      </c>
      <c r="E208" s="5" t="s">
        <v>539</v>
      </c>
      <c r="F208" s="3" t="s">
        <v>540</v>
      </c>
      <c r="G208" s="15">
        <f>+VLOOKUP(F208,[1]!Tableau1[[NOM ET PRENOM]:[Salaire NET A PAYER
(Montant Excel)]],25,FALSE)</f>
        <v>159999.65299999999</v>
      </c>
    </row>
    <row r="209" spans="2:7" x14ac:dyDescent="0.3">
      <c r="B209" s="3" t="s">
        <v>17</v>
      </c>
      <c r="C209" s="3" t="s">
        <v>416</v>
      </c>
      <c r="D209" s="4" t="s">
        <v>419</v>
      </c>
      <c r="E209" s="5" t="s">
        <v>541</v>
      </c>
      <c r="F209" s="3" t="s">
        <v>542</v>
      </c>
      <c r="G209" s="15">
        <f>+VLOOKUP(F209,[1]!Tableau1[[NOM ET PRENOM]:[Salaire NET A PAYER
(Montant Excel)]],25,FALSE)</f>
        <v>159999.65299999999</v>
      </c>
    </row>
    <row r="210" spans="2:7" x14ac:dyDescent="0.3">
      <c r="B210" s="3" t="s">
        <v>17</v>
      </c>
      <c r="C210" s="3" t="s">
        <v>416</v>
      </c>
      <c r="D210" s="4" t="s">
        <v>543</v>
      </c>
      <c r="E210" s="5" t="s">
        <v>544</v>
      </c>
      <c r="F210" s="3" t="s">
        <v>545</v>
      </c>
      <c r="G210" s="15">
        <f>+VLOOKUP(F210,[1]!Tableau1[[NOM ET PRENOM]:[Salaire NET A PAYER
(Montant Excel)]],25,FALSE)</f>
        <v>159999.65299999999</v>
      </c>
    </row>
    <row r="211" spans="2:7" x14ac:dyDescent="0.3">
      <c r="B211" s="3" t="s">
        <v>17</v>
      </c>
      <c r="C211" s="3" t="s">
        <v>416</v>
      </c>
      <c r="D211" s="4" t="s">
        <v>546</v>
      </c>
      <c r="E211" s="5" t="s">
        <v>547</v>
      </c>
      <c r="F211" s="3" t="s">
        <v>548</v>
      </c>
      <c r="G211" s="15">
        <f>+VLOOKUP(F211,[1]!Tableau1[[NOM ET PRENOM]:[Salaire NET A PAYER
(Montant Excel)]],25,FALSE)</f>
        <v>159999.65299999999</v>
      </c>
    </row>
    <row r="212" spans="2:7" x14ac:dyDescent="0.3">
      <c r="B212" s="3" t="s">
        <v>17</v>
      </c>
      <c r="C212" s="3" t="s">
        <v>416</v>
      </c>
      <c r="D212" s="4" t="s">
        <v>419</v>
      </c>
      <c r="E212" s="5" t="s">
        <v>549</v>
      </c>
      <c r="F212" s="3" t="s">
        <v>550</v>
      </c>
      <c r="G212" s="15">
        <f>+VLOOKUP(F212,[1]!Tableau1[[NOM ET PRENOM]:[Salaire NET A PAYER
(Montant Excel)]],25,FALSE)</f>
        <v>159999.65299999999</v>
      </c>
    </row>
    <row r="213" spans="2:7" x14ac:dyDescent="0.3">
      <c r="B213" s="3" t="s">
        <v>17</v>
      </c>
      <c r="C213" s="3" t="s">
        <v>416</v>
      </c>
      <c r="D213" s="4" t="s">
        <v>419</v>
      </c>
      <c r="E213" s="5" t="s">
        <v>551</v>
      </c>
      <c r="F213" s="3" t="s">
        <v>552</v>
      </c>
      <c r="G213" s="15">
        <f>+VLOOKUP(F213,[1]!Tableau1[[NOM ET PRENOM]:[Salaire NET A PAYER
(Montant Excel)]],25,FALSE)</f>
        <v>159499.73800000001</v>
      </c>
    </row>
    <row r="214" spans="2:7" x14ac:dyDescent="0.3">
      <c r="B214" s="3" t="s">
        <v>11</v>
      </c>
      <c r="C214" s="3" t="s">
        <v>12</v>
      </c>
      <c r="D214" s="4" t="s">
        <v>553</v>
      </c>
      <c r="E214" s="5" t="s">
        <v>554</v>
      </c>
      <c r="F214" s="3" t="s">
        <v>555</v>
      </c>
      <c r="G214" s="15">
        <f>+VLOOKUP(F214,[1]!Tableau1[[NOM ET PRENOM]:[Salaire NET A PAYER
(Montant Excel)]],25,FALSE)</f>
        <v>159999.65299999999</v>
      </c>
    </row>
    <row r="215" spans="2:7" x14ac:dyDescent="0.3">
      <c r="B215" s="3" t="s">
        <v>37</v>
      </c>
      <c r="C215" s="3" t="s">
        <v>38</v>
      </c>
      <c r="D215" s="4" t="s">
        <v>484</v>
      </c>
      <c r="E215" s="5" t="s">
        <v>556</v>
      </c>
      <c r="F215" s="3" t="s">
        <v>557</v>
      </c>
      <c r="G215" s="15">
        <f>+VLOOKUP(F215,[1]!Tableau1[[NOM ET PRENOM]:[Salaire NET A PAYER
(Montant Excel)]],25,FALSE)</f>
        <v>159999.65299999999</v>
      </c>
    </row>
    <row r="216" spans="2:7" x14ac:dyDescent="0.3">
      <c r="B216" s="3" t="s">
        <v>6</v>
      </c>
      <c r="C216" s="3" t="s">
        <v>409</v>
      </c>
      <c r="D216" s="4" t="s">
        <v>8</v>
      </c>
      <c r="E216" s="5" t="s">
        <v>558</v>
      </c>
      <c r="F216" s="3" t="s">
        <v>559</v>
      </c>
      <c r="G216" s="15">
        <f>+VLOOKUP(F216,[1]!Tableau1[[NOM ET PRENOM]:[Salaire NET A PAYER
(Montant Excel)]],25,FALSE)</f>
        <v>159999.65299999999</v>
      </c>
    </row>
    <row r="217" spans="2:7" x14ac:dyDescent="0.3">
      <c r="B217" s="3" t="s">
        <v>6</v>
      </c>
      <c r="C217" s="3" t="s">
        <v>409</v>
      </c>
      <c r="D217" s="4" t="s">
        <v>8</v>
      </c>
      <c r="E217" s="5" t="s">
        <v>560</v>
      </c>
      <c r="F217" s="3" t="s">
        <v>561</v>
      </c>
      <c r="G217" s="15">
        <f>+VLOOKUP(F217,[1]!Tableau1[[NOM ET PRENOM]:[Salaire NET A PAYER
(Montant Excel)]],25,FALSE)</f>
        <v>43333.333333333336</v>
      </c>
    </row>
    <row r="218" spans="2:7" x14ac:dyDescent="0.3">
      <c r="B218" s="3" t="s">
        <v>6</v>
      </c>
      <c r="C218" s="3" t="s">
        <v>409</v>
      </c>
      <c r="D218" s="4" t="s">
        <v>8</v>
      </c>
      <c r="E218" s="5" t="s">
        <v>562</v>
      </c>
      <c r="F218" s="3" t="s">
        <v>563</v>
      </c>
      <c r="G218" s="15">
        <f>+VLOOKUP(F218,[1]!Tableau1[[NOM ET PRENOM]:[Salaire NET A PAYER
(Montant Excel)]],25,FALSE)</f>
        <v>159999.65299999999</v>
      </c>
    </row>
    <row r="219" spans="2:7" x14ac:dyDescent="0.3">
      <c r="B219" s="3" t="s">
        <v>40</v>
      </c>
      <c r="C219" s="3" t="s">
        <v>564</v>
      </c>
      <c r="D219" s="4" t="s">
        <v>500</v>
      </c>
      <c r="E219" s="5" t="s">
        <v>565</v>
      </c>
      <c r="F219" s="3" t="s">
        <v>566</v>
      </c>
      <c r="G219" s="15">
        <f>+VLOOKUP(F219,[1]!Tableau1[[NOM ET PRENOM]:[Salaire NET A PAYER
(Montant Excel)]],25,FALSE)</f>
        <v>159999.65299999999</v>
      </c>
    </row>
    <row r="220" spans="2:7" x14ac:dyDescent="0.3">
      <c r="B220" s="3" t="s">
        <v>128</v>
      </c>
      <c r="C220" s="3" t="s">
        <v>413</v>
      </c>
      <c r="D220" s="4" t="s">
        <v>476</v>
      </c>
      <c r="E220" s="5" t="s">
        <v>567</v>
      </c>
      <c r="F220" s="3" t="s">
        <v>568</v>
      </c>
      <c r="G220" s="15">
        <f>+VLOOKUP(F220,[1]!Tableau1[[NOM ET PRENOM]:[Salaire NET A PAYER
(Montant Excel)]],25,FALSE)</f>
        <v>159499.73800000001</v>
      </c>
    </row>
    <row r="221" spans="2:7" x14ac:dyDescent="0.3">
      <c r="B221" s="3" t="s">
        <v>17</v>
      </c>
      <c r="C221" s="3" t="s">
        <v>416</v>
      </c>
      <c r="D221" s="4" t="s">
        <v>419</v>
      </c>
      <c r="E221" s="5" t="s">
        <v>569</v>
      </c>
      <c r="F221" s="3" t="s">
        <v>570</v>
      </c>
      <c r="G221" s="15">
        <f>+VLOOKUP(F221,[1]!Tableau1[[NOM ET PRENOM]:[Salaire NET A PAYER
(Montant Excel)]],25,FALSE)</f>
        <v>229999.81599999999</v>
      </c>
    </row>
    <row r="222" spans="2:7" x14ac:dyDescent="0.3">
      <c r="B222" s="3" t="s">
        <v>11</v>
      </c>
      <c r="C222" s="3" t="s">
        <v>12</v>
      </c>
      <c r="D222" s="4" t="s">
        <v>571</v>
      </c>
      <c r="E222" s="5" t="s">
        <v>572</v>
      </c>
      <c r="F222" s="3" t="s">
        <v>573</v>
      </c>
      <c r="G222" s="15">
        <f>+VLOOKUP(F222,[1]!Tableau1[[NOM ET PRENOM]:[Salaire NET A PAYER
(Montant Excel)]],25,FALSE)</f>
        <v>159499.73800000001</v>
      </c>
    </row>
    <row r="223" spans="2:7" x14ac:dyDescent="0.3">
      <c r="B223" s="3" t="s">
        <v>269</v>
      </c>
      <c r="C223" s="3" t="s">
        <v>406</v>
      </c>
      <c r="D223" s="4" t="s">
        <v>476</v>
      </c>
      <c r="E223" s="5" t="s">
        <v>574</v>
      </c>
      <c r="F223" s="3" t="s">
        <v>700</v>
      </c>
      <c r="G223" s="15">
        <f>+VLOOKUP(F223,[1]!Tableau1[[NOM ET PRENOM]:[Salaire NET A PAYER
(Montant Excel)]],25,FALSE)</f>
        <v>159999.65299999999</v>
      </c>
    </row>
    <row r="224" spans="2:7" x14ac:dyDescent="0.3">
      <c r="B224" s="3" t="s">
        <v>6</v>
      </c>
      <c r="C224" s="3" t="s">
        <v>409</v>
      </c>
      <c r="D224" s="4" t="s">
        <v>8</v>
      </c>
      <c r="E224" s="5" t="s">
        <v>575</v>
      </c>
      <c r="F224" s="3" t="s">
        <v>576</v>
      </c>
      <c r="G224" s="15">
        <f>+VLOOKUP(F224,[1]!Tableau1[[NOM ET PRENOM]:[Salaire NET A PAYER
(Montant Excel)]],25,FALSE)</f>
        <v>159499.73800000001</v>
      </c>
    </row>
    <row r="225" spans="2:7" x14ac:dyDescent="0.3">
      <c r="B225" s="3" t="s">
        <v>17</v>
      </c>
      <c r="C225" s="3" t="s">
        <v>416</v>
      </c>
      <c r="D225" s="4" t="s">
        <v>577</v>
      </c>
      <c r="E225" s="5" t="s">
        <v>578</v>
      </c>
      <c r="F225" s="3" t="s">
        <v>579</v>
      </c>
      <c r="G225" s="15">
        <f>+VLOOKUP(F225,[1]!Tableau1[[NOM ET PRENOM]:[Salaire NET A PAYER
(Montant Excel)]],25,FALSE)</f>
        <v>158999.73800000001</v>
      </c>
    </row>
    <row r="226" spans="2:7" x14ac:dyDescent="0.3">
      <c r="B226" s="3" t="s">
        <v>6</v>
      </c>
      <c r="C226" s="3" t="s">
        <v>409</v>
      </c>
      <c r="D226" s="4" t="s">
        <v>8</v>
      </c>
      <c r="E226" s="5" t="s">
        <v>580</v>
      </c>
      <c r="F226" s="3" t="s">
        <v>581</v>
      </c>
      <c r="G226" s="15">
        <f>+VLOOKUP(F226,[1]!Tableau1[[NOM ET PRENOM]:[Salaire NET A PAYER
(Montant Excel)]],25,FALSE)</f>
        <v>100000</v>
      </c>
    </row>
    <row r="227" spans="2:7" x14ac:dyDescent="0.3">
      <c r="B227" s="3" t="s">
        <v>6</v>
      </c>
      <c r="C227" s="3" t="s">
        <v>409</v>
      </c>
      <c r="D227" s="4" t="s">
        <v>8</v>
      </c>
      <c r="E227" s="5" t="s">
        <v>582</v>
      </c>
      <c r="F227" s="3" t="s">
        <v>583</v>
      </c>
      <c r="G227" s="15">
        <f>+VLOOKUP(F227,[1]!Tableau1[[NOM ET PRENOM]:[Salaire NET A PAYER
(Montant Excel)]],25,FALSE)</f>
        <v>159999.65299999999</v>
      </c>
    </row>
    <row r="228" spans="2:7" x14ac:dyDescent="0.3">
      <c r="B228" s="3" t="s">
        <v>6</v>
      </c>
      <c r="C228" s="3" t="s">
        <v>409</v>
      </c>
      <c r="D228" s="4" t="s">
        <v>8</v>
      </c>
      <c r="E228" s="5" t="s">
        <v>584</v>
      </c>
      <c r="F228" s="3" t="s">
        <v>585</v>
      </c>
      <c r="G228" s="15">
        <f>+VLOOKUP(F228,[1]!Tableau1[[NOM ET PRENOM]:[Salaire NET A PAYER
(Montant Excel)]],25,FALSE)</f>
        <v>159999.65299999999</v>
      </c>
    </row>
    <row r="229" spans="2:7" x14ac:dyDescent="0.3">
      <c r="B229" s="3" t="s">
        <v>6</v>
      </c>
      <c r="C229" s="3" t="s">
        <v>409</v>
      </c>
      <c r="D229" s="4" t="s">
        <v>8</v>
      </c>
      <c r="E229" s="5" t="s">
        <v>586</v>
      </c>
      <c r="F229" s="3" t="s">
        <v>261</v>
      </c>
      <c r="G229" s="15">
        <f>+VLOOKUP(F229,[1]!Tableau1[[NOM ET PRENOM]:[Salaire NET A PAYER
(Montant Excel)]],25,FALSE)</f>
        <v>109649.83733333334</v>
      </c>
    </row>
    <row r="230" spans="2:7" x14ac:dyDescent="0.3">
      <c r="B230" s="3" t="s">
        <v>17</v>
      </c>
      <c r="C230" s="3" t="s">
        <v>416</v>
      </c>
      <c r="D230" s="4" t="s">
        <v>419</v>
      </c>
      <c r="E230" s="13" t="s">
        <v>587</v>
      </c>
      <c r="F230" s="3" t="s">
        <v>588</v>
      </c>
      <c r="G230" s="15">
        <f>+VLOOKUP(F230,[1]!Tableau1[[NOM ET PRENOM]:[Salaire NET A PAYER
(Montant Excel)]],25,FALSE)</f>
        <v>155049.66990000001</v>
      </c>
    </row>
    <row r="231" spans="2:7" x14ac:dyDescent="0.3">
      <c r="B231" s="3" t="s">
        <v>40</v>
      </c>
      <c r="C231" s="3" t="s">
        <v>499</v>
      </c>
      <c r="D231" s="4" t="s">
        <v>500</v>
      </c>
      <c r="E231" s="13" t="s">
        <v>589</v>
      </c>
      <c r="F231" t="s">
        <v>590</v>
      </c>
      <c r="G231" s="15">
        <f>+VLOOKUP(F231,[1]!Tableau1[[NOM ET PRENOM]:[Salaire NET A PAYER
(Montant Excel)]],25,FALSE)</f>
        <v>229999.81599999999</v>
      </c>
    </row>
    <row r="232" spans="2:7" x14ac:dyDescent="0.3">
      <c r="B232" s="3" t="s">
        <v>6</v>
      </c>
      <c r="C232" s="3" t="s">
        <v>409</v>
      </c>
      <c r="D232" s="4" t="s">
        <v>8</v>
      </c>
      <c r="E232" s="5" t="s">
        <v>591</v>
      </c>
      <c r="F232" s="3" t="s">
        <v>592</v>
      </c>
      <c r="G232" s="15">
        <f>+VLOOKUP(F232,[1]!Tableau1[[NOM ET PRENOM]:[Salaire NET A PAYER
(Montant Excel)]],25,FALSE)</f>
        <v>153649.74673333333</v>
      </c>
    </row>
    <row r="233" spans="2:7" x14ac:dyDescent="0.3">
      <c r="B233" s="3" t="s">
        <v>6</v>
      </c>
      <c r="C233" s="3" t="s">
        <v>409</v>
      </c>
      <c r="D233" s="4" t="s">
        <v>8</v>
      </c>
      <c r="E233" s="5" t="s">
        <v>593</v>
      </c>
      <c r="F233" s="3" t="s">
        <v>594</v>
      </c>
      <c r="G233" s="15">
        <f>+VLOOKUP(F233,[1]!Tableau1[[NOM ET PRENOM]:[Salaire NET A PAYER
(Montant Excel)]],25,FALSE)</f>
        <v>159499.73800000001</v>
      </c>
    </row>
    <row r="234" spans="2:7" x14ac:dyDescent="0.3">
      <c r="B234" s="20" t="s">
        <v>6</v>
      </c>
      <c r="C234" s="20" t="s">
        <v>409</v>
      </c>
      <c r="D234" s="21" t="s">
        <v>8</v>
      </c>
      <c r="E234" s="22" t="s">
        <v>595</v>
      </c>
      <c r="F234" s="20" t="s">
        <v>596</v>
      </c>
      <c r="G234" s="15">
        <f>+VLOOKUP(F234,[1]!Tableau1[[NOM ET PRENOM]:[Salaire NET A PAYER
(Montant Excel)]],25,FALSE)</f>
        <v>159999.65299999999</v>
      </c>
    </row>
    <row r="235" spans="2:7" x14ac:dyDescent="0.3">
      <c r="B235" s="3" t="s">
        <v>19</v>
      </c>
      <c r="C235" s="3" t="s">
        <v>20</v>
      </c>
      <c r="D235" s="4" t="s">
        <v>385</v>
      </c>
      <c r="E235" s="5" t="s">
        <v>597</v>
      </c>
      <c r="F235" s="3" t="s">
        <v>598</v>
      </c>
      <c r="G235" s="15">
        <f>+VLOOKUP(F235,[1]!Tableau1[[NOM ET PRENOM]:[Salaire NET A PAYER
(Montant Excel)]],25,FALSE)</f>
        <v>159999.65299999999</v>
      </c>
    </row>
    <row r="236" spans="2:7" x14ac:dyDescent="0.3">
      <c r="B236" s="3" t="s">
        <v>6</v>
      </c>
      <c r="C236" s="3" t="s">
        <v>409</v>
      </c>
      <c r="D236" s="4" t="s">
        <v>8</v>
      </c>
      <c r="E236" s="5" t="s">
        <v>599</v>
      </c>
      <c r="F236" s="3" t="s">
        <v>600</v>
      </c>
      <c r="G236" s="15">
        <f>+VLOOKUP(F236,[1]!Tableau1[[NOM ET PRENOM]:[Salaire NET A PAYER
(Montant Excel)]],25,FALSE)</f>
        <v>155049.66990000001</v>
      </c>
    </row>
    <row r="237" spans="2:7" x14ac:dyDescent="0.3">
      <c r="B237" s="3" t="s">
        <v>25</v>
      </c>
      <c r="C237" s="3" t="s">
        <v>268</v>
      </c>
      <c r="D237" s="4" t="s">
        <v>377</v>
      </c>
      <c r="E237" s="5" t="s">
        <v>378</v>
      </c>
      <c r="F237" s="3" t="s">
        <v>601</v>
      </c>
      <c r="G237" s="15">
        <f>+VLOOKUP(F237,[1]!Tableau1[[NOM ET PRENOM]:[Salaire NET A PAYER
(Montant Excel)]],25,FALSE)</f>
        <v>250000.31299999999</v>
      </c>
    </row>
    <row r="238" spans="2:7" x14ac:dyDescent="0.3">
      <c r="B238" s="3" t="s">
        <v>25</v>
      </c>
      <c r="C238" s="3" t="s">
        <v>268</v>
      </c>
      <c r="D238" s="4" t="s">
        <v>385</v>
      </c>
      <c r="E238" s="5" t="s">
        <v>386</v>
      </c>
      <c r="F238" s="3" t="s">
        <v>602</v>
      </c>
      <c r="G238" s="15">
        <f>+VLOOKUP(F238,[1]!Tableau1[[NOM ET PRENOM]:[Salaire NET A PAYER
(Montant Excel)]],25,FALSE)</f>
        <v>250000.321</v>
      </c>
    </row>
    <row r="239" spans="2:7" x14ac:dyDescent="0.3">
      <c r="B239" s="3" t="s">
        <v>6</v>
      </c>
      <c r="C239" s="3" t="s">
        <v>409</v>
      </c>
      <c r="D239" s="4" t="s">
        <v>8</v>
      </c>
      <c r="E239" s="5" t="s">
        <v>603</v>
      </c>
      <c r="F239" s="3" t="s">
        <v>604</v>
      </c>
      <c r="G239" s="15">
        <f>+VLOOKUP(F239,[1]!Tableau1[[NOM ET PRENOM]:[Salaire NET A PAYER
(Montant Excel)]],25,FALSE)</f>
        <v>159999.65299999999</v>
      </c>
    </row>
    <row r="240" spans="2:7" x14ac:dyDescent="0.3">
      <c r="B240" s="3" t="s">
        <v>17</v>
      </c>
      <c r="C240" s="3" t="s">
        <v>416</v>
      </c>
      <c r="D240" s="4" t="s">
        <v>607</v>
      </c>
      <c r="E240" s="5" t="s">
        <v>608</v>
      </c>
      <c r="F240" s="3" t="s">
        <v>609</v>
      </c>
      <c r="G240" s="15">
        <f>+VLOOKUP(F240,[1]!Tableau1[[NOM ET PRENOM]:[Salaire NET A PAYER
(Montant Excel)]],25,FALSE)</f>
        <v>229500.37099999998</v>
      </c>
    </row>
    <row r="241" spans="2:7" x14ac:dyDescent="0.3">
      <c r="B241" s="3" t="s">
        <v>6</v>
      </c>
      <c r="C241" s="3" t="s">
        <v>409</v>
      </c>
      <c r="D241" s="4" t="s">
        <v>8</v>
      </c>
      <c r="E241" s="5" t="s">
        <v>610</v>
      </c>
      <c r="F241" s="3" t="s">
        <v>611</v>
      </c>
      <c r="G241" s="15">
        <f>+VLOOKUP(F241,[1]!Tableau1[[NOM ET PRENOM]:[Salaire NET A PAYER
(Montant Excel)]],25,FALSE)</f>
        <v>159999.65299999999</v>
      </c>
    </row>
    <row r="242" spans="2:7" x14ac:dyDescent="0.3">
      <c r="B242" s="3" t="s">
        <v>11</v>
      </c>
      <c r="C242" s="3" t="s">
        <v>12</v>
      </c>
      <c r="D242" s="4" t="s">
        <v>401</v>
      </c>
      <c r="E242" s="5" t="s">
        <v>612</v>
      </c>
      <c r="F242" s="3" t="s">
        <v>613</v>
      </c>
      <c r="G242" s="15">
        <f>+VLOOKUP(F242,[1]!Tableau1[[NOM ET PRENOM]:[Salaire NET A PAYER
(Montant Excel)]],25,FALSE)</f>
        <v>144268.22399999999</v>
      </c>
    </row>
    <row r="243" spans="2:7" x14ac:dyDescent="0.3">
      <c r="B243" s="3" t="s">
        <v>19</v>
      </c>
      <c r="C243" s="3" t="s">
        <v>20</v>
      </c>
      <c r="D243" s="4" t="s">
        <v>8</v>
      </c>
      <c r="E243" s="5" t="s">
        <v>94</v>
      </c>
      <c r="F243" s="3" t="s">
        <v>614</v>
      </c>
      <c r="G243" s="15">
        <f>+VLOOKUP(F243,[1]!Tableau1[[NOM ET PRENOM]:[Salaire NET A PAYER
(Montant Excel)]],25,FALSE)</f>
        <v>250000.198</v>
      </c>
    </row>
    <row r="244" spans="2:7" x14ac:dyDescent="0.3">
      <c r="B244" s="3" t="s">
        <v>19</v>
      </c>
      <c r="C244" s="3" t="s">
        <v>20</v>
      </c>
      <c r="D244" s="4" t="s">
        <v>627</v>
      </c>
      <c r="E244" s="5">
        <v>149643850013</v>
      </c>
      <c r="F244" s="3" t="s">
        <v>615</v>
      </c>
      <c r="G244" s="15">
        <f>+VLOOKUP(F244,[1]!Tableau1[[NOM ET PRENOM]:[Salaire NET A PAYER
(Montant Excel)]],25,FALSE)</f>
        <v>250000.198</v>
      </c>
    </row>
    <row r="245" spans="2:7" x14ac:dyDescent="0.3">
      <c r="B245" s="3" t="s">
        <v>9</v>
      </c>
      <c r="C245" s="3" t="s">
        <v>10</v>
      </c>
      <c r="D245" s="4" t="s">
        <v>387</v>
      </c>
      <c r="E245" s="5" t="s">
        <v>616</v>
      </c>
      <c r="F245" s="3" t="s">
        <v>617</v>
      </c>
      <c r="G245" s="15">
        <f>+VLOOKUP(F245,[1]!Tableau1[[NOM ET PRENOM]:[Salaire NET A PAYER
(Montant Excel)]],25,FALSE)</f>
        <v>348999.89799999999</v>
      </c>
    </row>
    <row r="246" spans="2:7" x14ac:dyDescent="0.3">
      <c r="B246" s="3" t="s">
        <v>6</v>
      </c>
      <c r="C246" s="3" t="s">
        <v>409</v>
      </c>
      <c r="D246" s="4" t="s">
        <v>8</v>
      </c>
      <c r="E246" s="5" t="s">
        <v>639</v>
      </c>
      <c r="F246" s="3" t="s">
        <v>618</v>
      </c>
      <c r="G246" s="15">
        <f>+VLOOKUP(F246,[1]!Tableau1[[NOM ET PRENOM]:[Salaire NET A PAYER
(Montant Excel)]],25,FALSE)</f>
        <v>149999.663</v>
      </c>
    </row>
    <row r="247" spans="2:7" x14ac:dyDescent="0.3">
      <c r="B247" s="3" t="s">
        <v>6</v>
      </c>
      <c r="C247" s="3" t="s">
        <v>409</v>
      </c>
      <c r="D247" s="4" t="s">
        <v>8</v>
      </c>
      <c r="E247" s="5">
        <v>111158518686</v>
      </c>
      <c r="F247" s="3" t="s">
        <v>619</v>
      </c>
      <c r="G247" s="15">
        <f>+VLOOKUP(F247,[1]!Tableau1[[NOM ET PRENOM]:[Salaire NET A PAYER
(Montant Excel)]],25,FALSE)</f>
        <v>100000</v>
      </c>
    </row>
    <row r="248" spans="2:7" x14ac:dyDescent="0.3">
      <c r="B248" s="3" t="s">
        <v>6</v>
      </c>
      <c r="C248" s="3" t="s">
        <v>409</v>
      </c>
      <c r="D248" s="4" t="s">
        <v>8</v>
      </c>
      <c r="E248" s="5" t="s">
        <v>153</v>
      </c>
      <c r="F248" s="3" t="s">
        <v>176</v>
      </c>
      <c r="G248" s="15">
        <f>+VLOOKUP(F248,[1]!Tableau1[[NOM ET PRENOM]:[Salaire NET A PAYER
(Montant Excel)]],25,FALSE)</f>
        <v>250000.31299999999</v>
      </c>
    </row>
    <row r="249" spans="2:7" x14ac:dyDescent="0.3">
      <c r="B249" s="3" t="s">
        <v>6</v>
      </c>
      <c r="C249" s="3" t="s">
        <v>409</v>
      </c>
      <c r="D249" s="4" t="s">
        <v>8</v>
      </c>
      <c r="E249" s="5">
        <v>111659914558</v>
      </c>
      <c r="F249" s="3" t="s">
        <v>620</v>
      </c>
      <c r="G249" s="15">
        <f>+VLOOKUP(F249,[1]!Tableau1[[NOM ET PRENOM]:[Salaire NET A PAYER
(Montant Excel)]],25,FALSE)</f>
        <v>250000.31299999999</v>
      </c>
    </row>
    <row r="250" spans="2:7" x14ac:dyDescent="0.3">
      <c r="B250" s="3" t="s">
        <v>11</v>
      </c>
      <c r="C250" s="3" t="s">
        <v>12</v>
      </c>
      <c r="D250" s="4" t="s">
        <v>606</v>
      </c>
      <c r="E250" s="5" t="s">
        <v>623</v>
      </c>
      <c r="F250" s="3" t="s">
        <v>622</v>
      </c>
      <c r="G250" s="15">
        <f>+VLOOKUP(F250,[1]!Tableau1[[NOM ET PRENOM]:[Salaire NET A PAYER
(Montant Excel)]],25,FALSE)</f>
        <v>249500.076</v>
      </c>
    </row>
    <row r="251" spans="2:7" x14ac:dyDescent="0.3">
      <c r="B251" s="3" t="s">
        <v>17</v>
      </c>
      <c r="C251" s="3" t="s">
        <v>416</v>
      </c>
      <c r="D251" s="4" t="s">
        <v>605</v>
      </c>
      <c r="E251" s="5" t="s">
        <v>624</v>
      </c>
      <c r="F251" s="3" t="s">
        <v>757</v>
      </c>
      <c r="G251" s="15">
        <f>+VLOOKUP(F251,[1]!Tableau1[[NOM ET PRENOM]:[Salaire NET A PAYER
(Montant Excel)]],25,FALSE)</f>
        <v>249500.076</v>
      </c>
    </row>
    <row r="252" spans="2:7" x14ac:dyDescent="0.3">
      <c r="B252" s="3" t="s">
        <v>17</v>
      </c>
      <c r="C252" s="3" t="s">
        <v>416</v>
      </c>
      <c r="D252" s="4" t="s">
        <v>419</v>
      </c>
      <c r="E252" s="5" t="s">
        <v>626</v>
      </c>
      <c r="F252" s="3" t="s">
        <v>625</v>
      </c>
      <c r="G252" s="15">
        <f>+VLOOKUP(F252,[1]!Tableau1[[NOM ET PRENOM]:[Salaire NET A PAYER
(Montant Excel)]],25,FALSE)</f>
        <v>159499.73800000001</v>
      </c>
    </row>
    <row r="253" spans="2:7" x14ac:dyDescent="0.3">
      <c r="B253" s="3" t="s">
        <v>17</v>
      </c>
      <c r="C253" s="3" t="s">
        <v>416</v>
      </c>
      <c r="D253" s="4" t="s">
        <v>419</v>
      </c>
      <c r="E253" s="5" t="s">
        <v>629</v>
      </c>
      <c r="F253" s="3" t="s">
        <v>628</v>
      </c>
      <c r="G253" s="15">
        <f>+VLOOKUP(F253,[1]!Tableau1[[NOM ET PRENOM]:[Salaire NET A PAYER
(Montant Excel)]],25,FALSE)</f>
        <v>159999.65299999999</v>
      </c>
    </row>
    <row r="254" spans="2:7" x14ac:dyDescent="0.3">
      <c r="B254" s="3" t="s">
        <v>19</v>
      </c>
      <c r="C254" s="3" t="s">
        <v>20</v>
      </c>
      <c r="D254" s="4" t="s">
        <v>631</v>
      </c>
      <c r="E254" s="5">
        <v>146819270017</v>
      </c>
      <c r="F254" s="3" t="s">
        <v>630</v>
      </c>
      <c r="G254" s="15">
        <f>+VLOOKUP(F254,[1]!Tableau1[[NOM ET PRENOM]:[Salaire NET A PAYER
(Montant Excel)]],25,FALSE)</f>
        <v>159999.65299999999</v>
      </c>
    </row>
    <row r="255" spans="2:7" x14ac:dyDescent="0.3">
      <c r="B255" s="3" t="s">
        <v>17</v>
      </c>
      <c r="C255" s="3" t="s">
        <v>416</v>
      </c>
      <c r="D255" s="4" t="s">
        <v>419</v>
      </c>
      <c r="E255" s="5" t="s">
        <v>633</v>
      </c>
      <c r="F255" s="3" t="s">
        <v>632</v>
      </c>
      <c r="G255" s="15">
        <f>+VLOOKUP(F255,[1]!Tableau1[[NOM ET PRENOM]:[Salaire NET A PAYER
(Montant Excel)]],25,FALSE)</f>
        <v>157499.73800000001</v>
      </c>
    </row>
    <row r="256" spans="2:7" x14ac:dyDescent="0.3">
      <c r="B256" s="3" t="s">
        <v>128</v>
      </c>
      <c r="C256" s="3" t="s">
        <v>413</v>
      </c>
      <c r="D256" s="4" t="s">
        <v>375</v>
      </c>
      <c r="E256" s="5" t="s">
        <v>635</v>
      </c>
      <c r="F256" s="3" t="s">
        <v>634</v>
      </c>
      <c r="G256" s="15">
        <f>+VLOOKUP(F256,[1]!Tableau1[[NOM ET PRENOM]:[Salaire NET A PAYER
(Montant Excel)]],25,FALSE)</f>
        <v>159999.65299999999</v>
      </c>
    </row>
    <row r="257" spans="2:7" x14ac:dyDescent="0.3">
      <c r="B257" s="3" t="s">
        <v>25</v>
      </c>
      <c r="C257" s="3" t="s">
        <v>26</v>
      </c>
      <c r="D257" s="4" t="s">
        <v>369</v>
      </c>
      <c r="E257" s="5" t="s">
        <v>636</v>
      </c>
      <c r="F257" s="3" t="s">
        <v>637</v>
      </c>
      <c r="G257" s="15">
        <f>+VLOOKUP(F257,[1]!Tableau1[[NOM ET PRENOM]:[Salaire NET A PAYER
(Montant Excel)]],25,FALSE)</f>
        <v>325956.09194999997</v>
      </c>
    </row>
    <row r="258" spans="2:7" x14ac:dyDescent="0.3">
      <c r="B258" s="3" t="s">
        <v>17</v>
      </c>
      <c r="C258" s="3" t="s">
        <v>416</v>
      </c>
      <c r="D258" s="4" t="s">
        <v>621</v>
      </c>
      <c r="E258" s="5" t="s">
        <v>641</v>
      </c>
      <c r="F258" s="3" t="s">
        <v>640</v>
      </c>
      <c r="G258" s="15">
        <f>+VLOOKUP(F258,[1]!Tableau1[[NOM ET PRENOM]:[Salaire NET A PAYER
(Montant Excel)]],25,FALSE)</f>
        <v>159499.73800000001</v>
      </c>
    </row>
    <row r="259" spans="2:7" x14ac:dyDescent="0.3">
      <c r="B259" s="3" t="s">
        <v>40</v>
      </c>
      <c r="C259" s="3" t="s">
        <v>564</v>
      </c>
      <c r="D259" s="4" t="s">
        <v>500</v>
      </c>
      <c r="E259" s="5" t="s">
        <v>642</v>
      </c>
      <c r="F259" s="3" t="s">
        <v>643</v>
      </c>
      <c r="G259" s="15">
        <f>+VLOOKUP(F259,[1]!Tableau1[[NOM ET PRENOM]:[Salaire NET A PAYER
(Montant Excel)]],25,FALSE)</f>
        <v>159499.73800000001</v>
      </c>
    </row>
    <row r="260" spans="2:7" x14ac:dyDescent="0.3">
      <c r="B260" s="3" t="s">
        <v>17</v>
      </c>
      <c r="C260" s="3" t="s">
        <v>18</v>
      </c>
      <c r="D260" s="4" t="s">
        <v>321</v>
      </c>
      <c r="E260" s="5" t="s">
        <v>644</v>
      </c>
      <c r="F260" s="3" t="s">
        <v>699</v>
      </c>
      <c r="G260" s="15">
        <f>+VLOOKUP(F260,[1]!Tableau1[[NOM ET PRENOM]:[Salaire NET A PAYER
(Montant Excel)]],25,FALSE)</f>
        <v>349500.38</v>
      </c>
    </row>
    <row r="261" spans="2:7" x14ac:dyDescent="0.3">
      <c r="B261" s="3" t="s">
        <v>128</v>
      </c>
      <c r="C261" s="3" t="s">
        <v>413</v>
      </c>
      <c r="D261" s="4" t="s">
        <v>476</v>
      </c>
      <c r="E261" s="5" t="s">
        <v>646</v>
      </c>
      <c r="F261" s="3" t="s">
        <v>645</v>
      </c>
      <c r="G261" s="15">
        <f>+VLOOKUP(F261,[1]!Tableau1[[NOM ET PRENOM]:[Salaire NET A PAYER
(Montant Excel)]],25,FALSE)</f>
        <v>159999.73800000001</v>
      </c>
    </row>
    <row r="262" spans="2:7" x14ac:dyDescent="0.3">
      <c r="B262" s="3" t="s">
        <v>13</v>
      </c>
      <c r="C262" s="3" t="s">
        <v>14</v>
      </c>
      <c r="D262" s="4" t="s">
        <v>351</v>
      </c>
      <c r="E262" s="5" t="s">
        <v>648</v>
      </c>
      <c r="F262" s="3" t="s">
        <v>647</v>
      </c>
      <c r="G262" s="15">
        <f>+VLOOKUP(F262,[1]!Tableau1[[NOM ET PRENOM]:[Salaire NET A PAYER
(Montant Excel)]],25,FALSE)</f>
        <v>184665.38399999999</v>
      </c>
    </row>
    <row r="263" spans="2:7" x14ac:dyDescent="0.3">
      <c r="B263" s="3" t="s">
        <v>40</v>
      </c>
      <c r="C263" s="3" t="s">
        <v>41</v>
      </c>
      <c r="D263" s="4" t="s">
        <v>651</v>
      </c>
      <c r="E263" s="5" t="s">
        <v>652</v>
      </c>
      <c r="F263" s="3" t="s">
        <v>667</v>
      </c>
      <c r="G263" s="15">
        <f>+VLOOKUP(F263,[1]!Tableau1[[NOM ET PRENOM]:[Salaire NET A PAYER
(Montant Excel)]],25,FALSE)</f>
        <v>250000.31299999999</v>
      </c>
    </row>
    <row r="264" spans="2:7" x14ac:dyDescent="0.3">
      <c r="B264" s="3" t="s">
        <v>6</v>
      </c>
      <c r="C264" s="3" t="s">
        <v>441</v>
      </c>
      <c r="D264" s="4" t="s">
        <v>292</v>
      </c>
      <c r="E264" s="5" t="s">
        <v>653</v>
      </c>
      <c r="F264" s="3" t="s">
        <v>649</v>
      </c>
      <c r="G264" s="15">
        <f>+VLOOKUP(F264,[1]!Tableau1[[NOM ET PRENOM]:[Salaire NET A PAYER
(Montant Excel)]],25,FALSE)</f>
        <v>136610.46909909911</v>
      </c>
    </row>
    <row r="265" spans="2:7" x14ac:dyDescent="0.3">
      <c r="B265" s="3" t="s">
        <v>17</v>
      </c>
      <c r="C265" s="3" t="s">
        <v>18</v>
      </c>
      <c r="D265" s="4" t="s">
        <v>654</v>
      </c>
      <c r="E265" s="5" t="s">
        <v>655</v>
      </c>
      <c r="F265" s="3" t="s">
        <v>650</v>
      </c>
      <c r="G265" s="15">
        <f>+VLOOKUP(F265,[1]!Tableau1[[NOM ET PRENOM]:[Salaire NET A PAYER
(Montant Excel)]],25,FALSE)</f>
        <v>125952.07433333335</v>
      </c>
    </row>
    <row r="266" spans="2:7" x14ac:dyDescent="0.3">
      <c r="B266" s="3" t="s">
        <v>13</v>
      </c>
      <c r="C266" s="3" t="s">
        <v>14</v>
      </c>
      <c r="D266" s="4" t="s">
        <v>44</v>
      </c>
      <c r="E266" s="5" t="s">
        <v>657</v>
      </c>
      <c r="F266" s="3" t="s">
        <v>698</v>
      </c>
      <c r="G266" s="15">
        <f>+VLOOKUP(F266,[1]!Tableau1[[NOM ET PRENOM]:[Salaire NET A PAYER
(Montant Excel)]],25,FALSE)</f>
        <v>250000.31299999999</v>
      </c>
    </row>
    <row r="267" spans="2:7" x14ac:dyDescent="0.3">
      <c r="B267" s="3" t="s">
        <v>17</v>
      </c>
      <c r="C267" s="3" t="s">
        <v>416</v>
      </c>
      <c r="D267" s="4" t="s">
        <v>419</v>
      </c>
      <c r="E267" s="5" t="s">
        <v>658</v>
      </c>
      <c r="F267" s="3" t="s">
        <v>656</v>
      </c>
      <c r="G267" s="15">
        <f>+VLOOKUP(F267,[1]!Tableau1[[NOM ET PRENOM]:[Salaire NET A PAYER
(Montant Excel)]],25,FALSE)</f>
        <v>33015.379699699697</v>
      </c>
    </row>
    <row r="268" spans="2:7" x14ac:dyDescent="0.3">
      <c r="B268" s="3" t="s">
        <v>659</v>
      </c>
      <c r="C268" s="3" t="s">
        <v>660</v>
      </c>
      <c r="D268" s="4" t="s">
        <v>661</v>
      </c>
      <c r="E268" s="5" t="s">
        <v>662</v>
      </c>
      <c r="F268" s="3" t="s">
        <v>671</v>
      </c>
      <c r="G268" s="15">
        <f>+VLOOKUP(F268,[1]!Tableau1[[NOM ET PRENOM]:[Salaire NET A PAYER
(Montant Excel)]],25,FALSE)</f>
        <v>250000.31299999999</v>
      </c>
    </row>
    <row r="269" spans="2:7" x14ac:dyDescent="0.3">
      <c r="B269" s="3" t="s">
        <v>6</v>
      </c>
      <c r="C269" s="3" t="s">
        <v>409</v>
      </c>
      <c r="D269" s="4" t="s">
        <v>8</v>
      </c>
      <c r="E269" s="5" t="s">
        <v>663</v>
      </c>
      <c r="F269" s="3" t="s">
        <v>672</v>
      </c>
      <c r="G269" s="15">
        <f>+VLOOKUP(F269,[1]!Tableau1[[NOM ET PRENOM]:[Salaire NET A PAYER
(Montant Excel)]],25,FALSE)</f>
        <v>250000.31299999999</v>
      </c>
    </row>
    <row r="270" spans="2:7" x14ac:dyDescent="0.3">
      <c r="B270" s="3" t="s">
        <v>11</v>
      </c>
      <c r="C270" s="3" t="s">
        <v>12</v>
      </c>
      <c r="D270" s="4" t="s">
        <v>411</v>
      </c>
      <c r="E270" s="5" t="s">
        <v>664</v>
      </c>
      <c r="F270" s="3" t="s">
        <v>263</v>
      </c>
      <c r="G270" s="15">
        <f>+VLOOKUP(F270,[1]!Tableau1[[NOM ET PRENOM]:[Salaire NET A PAYER
(Montant Excel)]],25,FALSE)</f>
        <v>144768.22399999999</v>
      </c>
    </row>
    <row r="271" spans="2:7" x14ac:dyDescent="0.3">
      <c r="B271" s="3" t="s">
        <v>6</v>
      </c>
      <c r="C271" s="3" t="s">
        <v>409</v>
      </c>
      <c r="D271" s="4" t="s">
        <v>8</v>
      </c>
      <c r="E271" s="5" t="s">
        <v>665</v>
      </c>
      <c r="F271" s="3" t="s">
        <v>697</v>
      </c>
      <c r="G271" s="15">
        <f>+VLOOKUP(F271,[1]!Tableau1[[NOM ET PRENOM]:[Salaire NET A PAYER
(Montant Excel)]],25,FALSE)</f>
        <v>128034.93700000002</v>
      </c>
    </row>
    <row r="272" spans="2:7" x14ac:dyDescent="0.3">
      <c r="B272" s="3" t="s">
        <v>269</v>
      </c>
      <c r="C272" s="3" t="s">
        <v>673</v>
      </c>
      <c r="D272" s="4">
        <v>26201</v>
      </c>
      <c r="E272" s="5" t="s">
        <v>675</v>
      </c>
      <c r="F272" s="3" t="s">
        <v>674</v>
      </c>
      <c r="G272" s="15">
        <f>+VLOOKUP(F272,[1]!Tableau1[[NOM ET PRENOM]:[Salaire NET A PAYER
(Montant Excel)]],25,FALSE)</f>
        <v>199500.40100000001</v>
      </c>
    </row>
    <row r="273" spans="2:12" x14ac:dyDescent="0.3">
      <c r="B273" s="3" t="s">
        <v>6</v>
      </c>
      <c r="C273" s="3" t="s">
        <v>7</v>
      </c>
      <c r="D273" s="4" t="s">
        <v>292</v>
      </c>
      <c r="E273" s="5" t="s">
        <v>681</v>
      </c>
      <c r="F273" s="3" t="s">
        <v>676</v>
      </c>
      <c r="G273" s="15">
        <f>+VLOOKUP(F273,[1]!Tableau1[[NOM ET PRENOM]:[Salaire NET A PAYER
(Montant Excel)]],25,FALSE)</f>
        <v>348999.89799999999</v>
      </c>
    </row>
    <row r="274" spans="2:12" x14ac:dyDescent="0.3">
      <c r="B274" s="3" t="s">
        <v>6</v>
      </c>
      <c r="C274" s="3" t="s">
        <v>7</v>
      </c>
      <c r="D274" s="4" t="s">
        <v>292</v>
      </c>
      <c r="E274" s="5" t="s">
        <v>682</v>
      </c>
      <c r="F274" s="3" t="s">
        <v>677</v>
      </c>
      <c r="G274" s="15">
        <f>+VLOOKUP(F274,[1]!Tableau1[[NOM ET PRENOM]:[Salaire NET A PAYER
(Montant Excel)]],25,FALSE)</f>
        <v>250000.31299999999</v>
      </c>
    </row>
    <row r="275" spans="2:12" x14ac:dyDescent="0.3">
      <c r="B275" s="3" t="s">
        <v>55</v>
      </c>
      <c r="C275" s="3" t="s">
        <v>56</v>
      </c>
      <c r="D275" s="4" t="s">
        <v>297</v>
      </c>
      <c r="E275" s="5" t="s">
        <v>683</v>
      </c>
      <c r="F275" s="3" t="s">
        <v>678</v>
      </c>
      <c r="G275" s="15">
        <f>+VLOOKUP(F275,[1]!Tableau1[[NOM ET PRENOM]:[Salaire NET A PAYER
(Montant Excel)]],25,FALSE)</f>
        <v>274500.152</v>
      </c>
    </row>
    <row r="276" spans="2:12" x14ac:dyDescent="0.3">
      <c r="B276" s="3" t="s">
        <v>30</v>
      </c>
      <c r="C276" s="3" t="s">
        <v>31</v>
      </c>
      <c r="D276" s="4" t="s">
        <v>684</v>
      </c>
      <c r="E276" s="5" t="s">
        <v>685</v>
      </c>
      <c r="F276" s="3" t="s">
        <v>696</v>
      </c>
      <c r="G276" s="15">
        <f>+VLOOKUP(F276,[1]!Tableau1[[NOM ET PRENOM]:[Salaire NET A PAYER
(Montant Excel)]],25,FALSE)</f>
        <v>249500.076</v>
      </c>
    </row>
    <row r="277" spans="2:12" x14ac:dyDescent="0.3">
      <c r="B277" s="3" t="s">
        <v>17</v>
      </c>
      <c r="C277" s="3" t="s">
        <v>18</v>
      </c>
      <c r="D277" s="4" t="s">
        <v>686</v>
      </c>
      <c r="E277" s="5" t="s">
        <v>687</v>
      </c>
      <c r="F277" s="3" t="s">
        <v>679</v>
      </c>
      <c r="G277" s="15">
        <f>+VLOOKUP(F277,[1]!Tableau1[[NOM ET PRENOM]:[Salaire NET A PAYER
(Montant Excel)]],25,FALSE)</f>
        <v>349999.89</v>
      </c>
    </row>
    <row r="278" spans="2:12" x14ac:dyDescent="0.3">
      <c r="B278" s="16" t="s">
        <v>11</v>
      </c>
      <c r="C278" s="16" t="s">
        <v>12</v>
      </c>
      <c r="D278" s="17" t="s">
        <v>400</v>
      </c>
      <c r="E278" s="18" t="s">
        <v>753</v>
      </c>
      <c r="F278" s="16" t="s">
        <v>666</v>
      </c>
      <c r="G278" s="15">
        <f>+VLOOKUP(F278,[1]!Tableau1[[NOM ET PRENOM]:[Salaire NET A PAYER
(Montant Excel)]],25,FALSE)</f>
        <v>349999.89</v>
      </c>
      <c r="H278" t="s">
        <v>739</v>
      </c>
    </row>
    <row r="279" spans="2:12" x14ac:dyDescent="0.3">
      <c r="B279" s="3" t="s">
        <v>6</v>
      </c>
      <c r="C279" s="3" t="s">
        <v>409</v>
      </c>
      <c r="D279" s="4" t="s">
        <v>8</v>
      </c>
      <c r="E279" s="5" t="s">
        <v>688</v>
      </c>
      <c r="F279" s="3" t="s">
        <v>680</v>
      </c>
      <c r="G279" s="15">
        <f>+VLOOKUP(F279,[1]!Tableau1[[NOM ET PRENOM]:[Salaire NET A PAYER
(Montant Excel)]],25,FALSE)</f>
        <v>250000.31299999999</v>
      </c>
    </row>
    <row r="280" spans="2:12" x14ac:dyDescent="0.3">
      <c r="B280" s="3" t="s">
        <v>6</v>
      </c>
      <c r="C280" s="3" t="s">
        <v>409</v>
      </c>
      <c r="D280" s="4" t="s">
        <v>8</v>
      </c>
      <c r="E280" s="5" t="s">
        <v>689</v>
      </c>
      <c r="F280" s="3" t="s">
        <v>695</v>
      </c>
      <c r="G280" s="15">
        <f>+VLOOKUP(F280,[1]!Tableau1[[NOM ET PRENOM]:[Salaire NET A PAYER
(Montant Excel)]],25,FALSE)</f>
        <v>167811.12100000001</v>
      </c>
      <c r="H280" s="14"/>
    </row>
    <row r="281" spans="2:12" x14ac:dyDescent="0.3">
      <c r="B281" s="3" t="s">
        <v>17</v>
      </c>
      <c r="C281" s="3" t="s">
        <v>416</v>
      </c>
      <c r="D281" s="4" t="s">
        <v>419</v>
      </c>
      <c r="E281" s="5" t="s">
        <v>690</v>
      </c>
      <c r="F281" s="3" t="s">
        <v>693</v>
      </c>
      <c r="G281" s="15">
        <f>+VLOOKUP(F281,[1]!Tableau1[[NOM ET PRENOM]:[Salaire NET A PAYER
(Montant Excel)]],25,FALSE)</f>
        <v>159999.65299999999</v>
      </c>
    </row>
    <row r="282" spans="2:12" x14ac:dyDescent="0.3">
      <c r="B282" s="3" t="s">
        <v>37</v>
      </c>
      <c r="C282" s="3" t="s">
        <v>38</v>
      </c>
      <c r="D282" s="4" t="s">
        <v>369</v>
      </c>
      <c r="E282" s="5" t="s">
        <v>691</v>
      </c>
      <c r="F282" s="3" t="s">
        <v>262</v>
      </c>
      <c r="G282" s="15">
        <f>+VLOOKUP(F282,[1]!Tableau1[[NOM ET PRENOM]:[Salaire NET A PAYER
(Montant Excel)]],25,FALSE)</f>
        <v>194486.84279999998</v>
      </c>
    </row>
    <row r="283" spans="2:12" x14ac:dyDescent="0.3">
      <c r="B283" s="16" t="s">
        <v>19</v>
      </c>
      <c r="C283" s="16" t="s">
        <v>20</v>
      </c>
      <c r="D283" s="17" t="s">
        <v>627</v>
      </c>
      <c r="E283" s="18" t="s">
        <v>692</v>
      </c>
      <c r="F283" s="16" t="s">
        <v>694</v>
      </c>
      <c r="G283" s="15">
        <f>+VLOOKUP(F283,[1]!Tableau1[[NOM ET PRENOM]:[Salaire NET A PAYER
(Montant Excel)]],25,FALSE)</f>
        <v>0</v>
      </c>
      <c r="H283" t="s">
        <v>738</v>
      </c>
    </row>
    <row r="284" spans="2:12" x14ac:dyDescent="0.3">
      <c r="B284" s="3" t="s">
        <v>19</v>
      </c>
      <c r="C284" s="3" t="s">
        <v>20</v>
      </c>
      <c r="D284" s="4" t="s">
        <v>292</v>
      </c>
      <c r="E284" s="5" t="s">
        <v>721</v>
      </c>
      <c r="F284" s="3" t="s">
        <v>720</v>
      </c>
      <c r="G284" s="15">
        <f>+VLOOKUP(F284,[1]!Tableau1[[NOM ET PRENOM]:[Salaire NET A PAYER
(Montant Excel)]],25,FALSE)</f>
        <v>262830.61579999997</v>
      </c>
    </row>
    <row r="285" spans="2:12" x14ac:dyDescent="0.3">
      <c r="B285" s="3" t="s">
        <v>11</v>
      </c>
      <c r="C285" s="3" t="s">
        <v>12</v>
      </c>
      <c r="D285" s="4" t="s">
        <v>722</v>
      </c>
      <c r="E285" s="5" t="s">
        <v>723</v>
      </c>
      <c r="F285" s="3" t="s">
        <v>711</v>
      </c>
      <c r="G285" s="15">
        <f>+VLOOKUP(F285,[1]!Tableau1[[NOM ET PRENOM]:[Salaire NET A PAYER
(Montant Excel)]],25,FALSE)</f>
        <v>249500.076</v>
      </c>
    </row>
    <row r="286" spans="2:12" x14ac:dyDescent="0.3">
      <c r="B286" s="3" t="s">
        <v>13</v>
      </c>
      <c r="C286" s="3" t="s">
        <v>14</v>
      </c>
      <c r="D286" s="4" t="s">
        <v>724</v>
      </c>
      <c r="E286" s="5" t="s">
        <v>725</v>
      </c>
      <c r="F286" s="3" t="s">
        <v>712</v>
      </c>
      <c r="G286" s="15">
        <f>+VLOOKUP(F286,[1]!Tableau1[[NOM ET PRENOM]:[Salaire NET A PAYER
(Montant Excel)]],25,FALSE)</f>
        <v>250000.31299999999</v>
      </c>
    </row>
    <row r="287" spans="2:12" x14ac:dyDescent="0.3">
      <c r="B287" s="3" t="s">
        <v>13</v>
      </c>
      <c r="C287" s="3" t="s">
        <v>14</v>
      </c>
      <c r="D287" s="4" t="s">
        <v>726</v>
      </c>
      <c r="E287" s="5" t="s">
        <v>727</v>
      </c>
      <c r="F287" s="3" t="s">
        <v>714</v>
      </c>
      <c r="G287" s="15">
        <f>+VLOOKUP(F287,[1]!Tableau1[[NOM ET PRENOM]:[Salaire NET A PAYER
(Montant Excel)]],25,FALSE)</f>
        <v>249500.076</v>
      </c>
      <c r="K287" s="14"/>
    </row>
    <row r="288" spans="2:12" x14ac:dyDescent="0.3">
      <c r="B288" s="3" t="s">
        <v>55</v>
      </c>
      <c r="C288" s="3" t="s">
        <v>56</v>
      </c>
      <c r="D288" s="4" t="s">
        <v>297</v>
      </c>
      <c r="E288" s="5" t="s">
        <v>728</v>
      </c>
      <c r="F288" s="3" t="s">
        <v>715</v>
      </c>
      <c r="G288" s="15">
        <f>+VLOOKUP(F288,[1]!Tableau1[[NOM ET PRENOM]:[Salaire NET A PAYER
(Montant Excel)]],25,FALSE)</f>
        <v>250000.31299999999</v>
      </c>
      <c r="L288" s="14"/>
    </row>
    <row r="289" spans="2:10" s="24" customFormat="1" x14ac:dyDescent="0.3">
      <c r="B289" s="16" t="s">
        <v>9</v>
      </c>
      <c r="C289" s="16" t="s">
        <v>10</v>
      </c>
      <c r="D289" s="17" t="s">
        <v>729</v>
      </c>
      <c r="E289" s="18" t="s">
        <v>730</v>
      </c>
      <c r="F289" s="16" t="s">
        <v>713</v>
      </c>
      <c r="G289" s="19" t="e">
        <f>+VLOOKUP(F289,[1]!Tableau1[[NOM ET PRENOM]:[Salaire NET A PAYER
(Montant Excel)]],25,FALSE)</f>
        <v>#N/A</v>
      </c>
    </row>
    <row r="290" spans="2:10" x14ac:dyDescent="0.3">
      <c r="B290" s="3" t="s">
        <v>55</v>
      </c>
      <c r="C290" s="3" t="s">
        <v>56</v>
      </c>
      <c r="D290" s="4" t="s">
        <v>297</v>
      </c>
      <c r="E290" s="5" t="s">
        <v>731</v>
      </c>
      <c r="F290" s="3" t="s">
        <v>718</v>
      </c>
      <c r="G290" s="15">
        <f>+VLOOKUP(F290,[1]!Tableau1[[NOM ET PRENOM]:[Salaire NET A PAYER
(Montant Excel)]],25,FALSE)</f>
        <v>249500.076</v>
      </c>
      <c r="J290" s="14"/>
    </row>
    <row r="291" spans="2:10" x14ac:dyDescent="0.3">
      <c r="B291" s="3" t="s">
        <v>9</v>
      </c>
      <c r="C291" s="3" t="s">
        <v>10</v>
      </c>
      <c r="D291" s="4" t="s">
        <v>8</v>
      </c>
      <c r="E291" s="5" t="s">
        <v>364</v>
      </c>
      <c r="F291" s="3" t="s">
        <v>717</v>
      </c>
      <c r="G291" s="15">
        <f>+VLOOKUP(F291,[1]!Tableau1[[NOM ET PRENOM]:[Salaire NET A PAYER
(Montant Excel)]],25,FALSE)</f>
        <v>248499.83900000001</v>
      </c>
    </row>
    <row r="292" spans="2:10" x14ac:dyDescent="0.3">
      <c r="B292" s="3" t="s">
        <v>732</v>
      </c>
      <c r="C292" s="3" t="s">
        <v>733</v>
      </c>
      <c r="D292" s="4" t="s">
        <v>734</v>
      </c>
      <c r="E292" s="5" t="s">
        <v>735</v>
      </c>
      <c r="F292" s="3" t="s">
        <v>719</v>
      </c>
      <c r="G292" s="15">
        <f>+VLOOKUP(F292,[1]!Tableau1[[NOM ET PRENOM]:[Salaire NET A PAYER
(Montant Excel)]],25,FALSE)</f>
        <v>249499.96100000001</v>
      </c>
    </row>
    <row r="293" spans="2:10" x14ac:dyDescent="0.3">
      <c r="B293" s="3" t="s">
        <v>19</v>
      </c>
      <c r="C293" s="3" t="s">
        <v>20</v>
      </c>
      <c r="D293" s="4" t="s">
        <v>736</v>
      </c>
      <c r="E293" s="5" t="s">
        <v>737</v>
      </c>
      <c r="F293" s="3" t="s">
        <v>716</v>
      </c>
      <c r="G293" s="15">
        <f>+VLOOKUP(F293,[1]!Tableau1[[NOM ET PRENOM]:[Salaire NET A PAYER
(Montant Excel)]],25,FALSE)</f>
        <v>348500.14299999998</v>
      </c>
    </row>
    <row r="294" spans="2:10" x14ac:dyDescent="0.3">
      <c r="B294" t="s">
        <v>6</v>
      </c>
      <c r="C294" t="s">
        <v>409</v>
      </c>
      <c r="D294" s="9" t="s">
        <v>8</v>
      </c>
      <c r="E294" s="10" t="s">
        <v>744</v>
      </c>
      <c r="F294" t="s">
        <v>740</v>
      </c>
      <c r="G294" s="15">
        <f>+VLOOKUP(F294,[1]!Tableau1[[NOM ET PRENOM]:[Salaire NET A PAYER
(Montant Excel)]],25,FALSE)</f>
        <v>134999.96500000003</v>
      </c>
    </row>
    <row r="295" spans="2:10" x14ac:dyDescent="0.3">
      <c r="B295" t="s">
        <v>6</v>
      </c>
      <c r="C295" t="s">
        <v>409</v>
      </c>
      <c r="D295" s="9" t="s">
        <v>8</v>
      </c>
      <c r="E295" s="10" t="s">
        <v>745</v>
      </c>
      <c r="F295" t="s">
        <v>107</v>
      </c>
      <c r="G295" s="15">
        <f>+VLOOKUP(F295,[1]!Tableau1[[NOM ET PRENOM]:[Salaire NET A PAYER
(Montant Excel)]],25,FALSE)</f>
        <v>150000.0000000002</v>
      </c>
    </row>
    <row r="296" spans="2:10" x14ac:dyDescent="0.3">
      <c r="B296" t="s">
        <v>17</v>
      </c>
      <c r="C296" t="s">
        <v>416</v>
      </c>
      <c r="D296" s="9" t="s">
        <v>605</v>
      </c>
      <c r="E296" s="10" t="s">
        <v>746</v>
      </c>
      <c r="F296" t="s">
        <v>741</v>
      </c>
      <c r="G296" s="15">
        <f>+VLOOKUP(F296,[1]!Tableau1[[NOM ET PRENOM]:[Salaire NET A PAYER
(Montant Excel)]],25,FALSE)</f>
        <v>249500.076</v>
      </c>
    </row>
    <row r="297" spans="2:10" x14ac:dyDescent="0.3">
      <c r="B297" t="s">
        <v>17</v>
      </c>
      <c r="C297" t="s">
        <v>416</v>
      </c>
      <c r="D297" s="9" t="s">
        <v>605</v>
      </c>
      <c r="E297" s="10" t="s">
        <v>747</v>
      </c>
      <c r="F297" t="s">
        <v>758</v>
      </c>
      <c r="G297" s="15">
        <f>+VLOOKUP(F297,[1]!Tableau1[[NOM ET PRENOM]:[Salaire NET A PAYER
(Montant Excel)]],25,FALSE)</f>
        <v>274999.66200000001</v>
      </c>
    </row>
    <row r="298" spans="2:10" x14ac:dyDescent="0.3">
      <c r="B298" t="s">
        <v>11</v>
      </c>
      <c r="C298" t="s">
        <v>751</v>
      </c>
      <c r="D298" s="9" t="s">
        <v>400</v>
      </c>
      <c r="E298" s="10" t="s">
        <v>748</v>
      </c>
      <c r="F298" t="s">
        <v>742</v>
      </c>
      <c r="G298" s="15">
        <f>+VLOOKUP(F298,[1]!Tableau1[[NOM ET PRENOM]:[Salaire NET A PAYER
(Montant Excel)]],25,FALSE)</f>
        <v>348500.14299999998</v>
      </c>
    </row>
    <row r="299" spans="2:10" x14ac:dyDescent="0.3">
      <c r="B299" t="s">
        <v>6</v>
      </c>
      <c r="C299" t="s">
        <v>409</v>
      </c>
      <c r="D299" s="9" t="s">
        <v>8</v>
      </c>
      <c r="E299" s="10" t="s">
        <v>152</v>
      </c>
      <c r="F299" t="s">
        <v>175</v>
      </c>
      <c r="G299" s="15">
        <f>+VLOOKUP(F299,[1]!Tableau1[[NOM ET PRENOM]:[Salaire NET A PAYER
(Montant Excel)]],25,FALSE)</f>
        <v>150000</v>
      </c>
    </row>
    <row r="300" spans="2:10" x14ac:dyDescent="0.3">
      <c r="B300" t="s">
        <v>37</v>
      </c>
      <c r="C300" t="s">
        <v>38</v>
      </c>
      <c r="D300" s="9" t="s">
        <v>39</v>
      </c>
      <c r="E300" s="10" t="s">
        <v>749</v>
      </c>
      <c r="F300" t="s">
        <v>759</v>
      </c>
      <c r="G300" s="15">
        <f>+VLOOKUP(F300,[1]!Tableau1[[NOM ET PRENOM]:[Salaire NET A PAYER
(Montant Excel)]],25,FALSE)</f>
        <v>250000.31299999999</v>
      </c>
    </row>
    <row r="301" spans="2:10" x14ac:dyDescent="0.3">
      <c r="B301" t="s">
        <v>6</v>
      </c>
      <c r="C301" t="s">
        <v>409</v>
      </c>
      <c r="D301" s="9" t="s">
        <v>8</v>
      </c>
      <c r="E301" s="10" t="s">
        <v>750</v>
      </c>
      <c r="F301" t="s">
        <v>743</v>
      </c>
      <c r="G301" s="15">
        <f>+VLOOKUP(F301,[1]!Tableau1[[NOM ET PRENOM]:[Salaire NET A PAYER
(Montant Excel)]],25,FALSE)</f>
        <v>150000</v>
      </c>
    </row>
    <row r="302" spans="2:10" x14ac:dyDescent="0.3">
      <c r="B302" t="s">
        <v>30</v>
      </c>
      <c r="C302" t="s">
        <v>31</v>
      </c>
      <c r="D302" s="9" t="s">
        <v>754</v>
      </c>
      <c r="E302" s="25" t="s">
        <v>755</v>
      </c>
      <c r="F302" s="26" t="s">
        <v>752</v>
      </c>
      <c r="G302" s="15">
        <f>+VLOOKUP(F302,[1]!Tableau1[[NOM ET PRENOM]:[Salaire NET A PAYER
(Montant Excel)]],25,FALSE)</f>
        <v>599999.88100000028</v>
      </c>
    </row>
  </sheetData>
  <autoFilter ref="B2:G271" xr:uid="{00000000-0009-0000-0000-000000000000}">
    <sortState ref="B3:G230">
      <sortCondition ref="F2:F151"/>
    </sortState>
  </autoFilter>
  <conditionalFormatting sqref="E3">
    <cfRule type="duplicateValues" dxfId="81" priority="39"/>
  </conditionalFormatting>
  <conditionalFormatting sqref="E42">
    <cfRule type="duplicateValues" dxfId="80" priority="21"/>
  </conditionalFormatting>
  <conditionalFormatting sqref="E86:E127 E43:E84 E4:E41">
    <cfRule type="duplicateValues" dxfId="79" priority="1321"/>
  </conditionalFormatting>
  <conditionalFormatting sqref="E128:E174">
    <cfRule type="duplicateValues" dxfId="78" priority="1405"/>
  </conditionalFormatting>
  <conditionalFormatting sqref="E175">
    <cfRule type="duplicateValues" dxfId="77" priority="36"/>
  </conditionalFormatting>
  <conditionalFormatting sqref="E177">
    <cfRule type="duplicateValues" dxfId="76" priority="16"/>
    <cfRule type="duplicateValues" dxfId="75" priority="17"/>
  </conditionalFormatting>
  <conditionalFormatting sqref="E178:E229">
    <cfRule type="duplicateValues" dxfId="74" priority="1531"/>
  </conditionalFormatting>
  <conditionalFormatting sqref="E178:E246 E3:E84 E86:E175">
    <cfRule type="duplicateValues" dxfId="73" priority="1535"/>
  </conditionalFormatting>
  <conditionalFormatting sqref="E230">
    <cfRule type="duplicateValues" dxfId="72" priority="33"/>
  </conditionalFormatting>
  <conditionalFormatting sqref="E231">
    <cfRule type="duplicateValues" dxfId="71" priority="31"/>
  </conditionalFormatting>
  <conditionalFormatting sqref="E232">
    <cfRule type="duplicateValues" dxfId="70" priority="29"/>
  </conditionalFormatting>
  <conditionalFormatting sqref="E233:E234">
    <cfRule type="duplicateValues" dxfId="69" priority="40"/>
  </conditionalFormatting>
  <conditionalFormatting sqref="E235">
    <cfRule type="duplicateValues" dxfId="68" priority="27"/>
  </conditionalFormatting>
  <conditionalFormatting sqref="E236">
    <cfRule type="duplicateValues" dxfId="67" priority="26"/>
  </conditionalFormatting>
  <conditionalFormatting sqref="E237:E246">
    <cfRule type="duplicateValues" dxfId="66" priority="52"/>
  </conditionalFormatting>
  <conditionalFormatting sqref="E247:E248">
    <cfRule type="duplicateValues" dxfId="65" priority="18"/>
    <cfRule type="duplicateValues" dxfId="64" priority="20"/>
  </conditionalFormatting>
  <conditionalFormatting sqref="E249">
    <cfRule type="duplicateValues" dxfId="63" priority="15"/>
  </conditionalFormatting>
  <conditionalFormatting sqref="E250:E251">
    <cfRule type="duplicateValues" dxfId="62" priority="12"/>
  </conditionalFormatting>
  <conditionalFormatting sqref="E254 E249 E252 E257 E260">
    <cfRule type="duplicateValues" dxfId="61" priority="13"/>
  </conditionalFormatting>
  <conditionalFormatting sqref="E255:E256 E250:E251 E253 E258:E259 E261:E262">
    <cfRule type="duplicateValues" dxfId="60" priority="42"/>
  </conditionalFormatting>
  <conditionalFormatting sqref="E263:E264">
    <cfRule type="duplicateValues" dxfId="59" priority="10"/>
  </conditionalFormatting>
  <conditionalFormatting sqref="E265:E277">
    <cfRule type="duplicateValues" dxfId="58" priority="62"/>
  </conditionalFormatting>
  <conditionalFormatting sqref="E278">
    <cfRule type="duplicateValues" dxfId="57" priority="46"/>
  </conditionalFormatting>
  <conditionalFormatting sqref="E279:E293">
    <cfRule type="duplicateValues" dxfId="56" priority="1536"/>
  </conditionalFormatting>
  <conditionalFormatting sqref="E294:E1048576 E1:E3">
    <cfRule type="duplicateValues" dxfId="55" priority="41"/>
  </conditionalFormatting>
  <conditionalFormatting sqref="E294:E1048576 E1:E264">
    <cfRule type="duplicateValues" dxfId="54" priority="8"/>
  </conditionalFormatting>
  <conditionalFormatting sqref="E263:F264">
    <cfRule type="duplicateValues" dxfId="53" priority="9"/>
  </conditionalFormatting>
  <conditionalFormatting sqref="E265:F277">
    <cfRule type="duplicateValues" dxfId="52" priority="61"/>
  </conditionalFormatting>
  <conditionalFormatting sqref="E278:F278">
    <cfRule type="duplicateValues" dxfId="51" priority="45"/>
  </conditionalFormatting>
  <conditionalFormatting sqref="E279:F293">
    <cfRule type="duplicateValues" dxfId="50" priority="1540"/>
  </conditionalFormatting>
  <conditionalFormatting sqref="E294:F1048576 E1:F84 E177:F262 E86:F175">
    <cfRule type="duplicateValues" dxfId="49" priority="43"/>
  </conditionalFormatting>
  <conditionalFormatting sqref="F3">
    <cfRule type="duplicateValues" dxfId="48" priority="37"/>
    <cfRule type="duplicateValues" dxfId="47" priority="38"/>
  </conditionalFormatting>
  <conditionalFormatting sqref="F42">
    <cfRule type="duplicateValues" dxfId="46" priority="22"/>
    <cfRule type="duplicateValues" dxfId="45" priority="23"/>
    <cfRule type="duplicateValues" dxfId="44" priority="24"/>
  </conditionalFormatting>
  <conditionalFormatting sqref="F86:F127 F43:F84 F3:F41">
    <cfRule type="duplicateValues" dxfId="43" priority="1329"/>
  </conditionalFormatting>
  <conditionalFormatting sqref="F86:F127 F43:F84 F4:F41">
    <cfRule type="duplicateValues" dxfId="42" priority="1325"/>
  </conditionalFormatting>
  <conditionalFormatting sqref="F86:F150 F43:F84 F3:F41">
    <cfRule type="duplicateValues" dxfId="41" priority="1370"/>
  </conditionalFormatting>
  <conditionalFormatting sqref="F128:F150">
    <cfRule type="duplicateValues" dxfId="40" priority="1366"/>
  </conditionalFormatting>
  <conditionalFormatting sqref="F151:F174">
    <cfRule type="duplicateValues" dxfId="39" priority="1399"/>
  </conditionalFormatting>
  <conditionalFormatting sqref="F178:F229">
    <cfRule type="duplicateValues" dxfId="38" priority="1533"/>
  </conditionalFormatting>
  <conditionalFormatting sqref="F230">
    <cfRule type="duplicateValues" dxfId="37" priority="34"/>
  </conditionalFormatting>
  <conditionalFormatting sqref="F231">
    <cfRule type="duplicateValues" dxfId="36" priority="32"/>
  </conditionalFormatting>
  <conditionalFormatting sqref="F232">
    <cfRule type="duplicateValues" dxfId="35" priority="30"/>
  </conditionalFormatting>
  <conditionalFormatting sqref="F235">
    <cfRule type="duplicateValues" dxfId="34" priority="28"/>
  </conditionalFormatting>
  <conditionalFormatting sqref="F236">
    <cfRule type="duplicateValues" dxfId="33" priority="25"/>
  </conditionalFormatting>
  <conditionalFormatting sqref="F237:F246">
    <cfRule type="duplicateValues" dxfId="32" priority="53"/>
  </conditionalFormatting>
  <conditionalFormatting sqref="F247:F248">
    <cfRule type="duplicateValues" dxfId="31" priority="19"/>
  </conditionalFormatting>
  <conditionalFormatting sqref="F254 F249 F252 F257 F260">
    <cfRule type="duplicateValues" dxfId="30" priority="14"/>
  </conditionalFormatting>
  <conditionalFormatting sqref="F255:F256 F250:F251 F253 F258:F259 F261:F262">
    <cfRule type="duplicateValues" dxfId="29" priority="44"/>
  </conditionalFormatting>
  <conditionalFormatting sqref="F263:F264">
    <cfRule type="duplicateValues" dxfId="28" priority="11"/>
  </conditionalFormatting>
  <conditionalFormatting sqref="F265:F277">
    <cfRule type="duplicateValues" dxfId="27" priority="63"/>
    <cfRule type="duplicateValues" dxfId="26" priority="64"/>
  </conditionalFormatting>
  <conditionalFormatting sqref="F278">
    <cfRule type="duplicateValues" dxfId="25" priority="47"/>
    <cfRule type="duplicateValues" dxfId="24" priority="48"/>
  </conditionalFormatting>
  <conditionalFormatting sqref="F279:F293">
    <cfRule type="duplicateValues" dxfId="23" priority="1546"/>
    <cfRule type="duplicateValues" dxfId="22" priority="1547"/>
    <cfRule type="duplicateValues" dxfId="21" priority="1548"/>
  </conditionalFormatting>
  <conditionalFormatting sqref="F294:F1048576 F1:F264">
    <cfRule type="duplicateValues" dxfId="20" priority="7"/>
  </conditionalFormatting>
  <conditionalFormatting sqref="F294:F1048576 F1:F278">
    <cfRule type="duplicateValues" dxfId="19" priority="6"/>
  </conditionalFormatting>
  <pageMargins left="0.7" right="0.7" top="0.75" bottom="0.75" header="0.3" footer="0.3"/>
  <pageSetup paperSize="9" scale="49" orientation="portrait" r:id="rId1"/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867B6-6435-4B63-A9CB-7666082630BD}">
  <dimension ref="B2:J20"/>
  <sheetViews>
    <sheetView tabSelected="1" zoomScale="94" zoomScaleNormal="94" zoomScaleSheetLayoutView="92" workbookViewId="0">
      <selection activeCell="D16" sqref="D16"/>
    </sheetView>
  </sheetViews>
  <sheetFormatPr baseColWidth="10" defaultColWidth="11.19921875" defaultRowHeight="15.6" x14ac:dyDescent="0.3"/>
  <cols>
    <col min="1" max="1" width="3.19921875" customWidth="1"/>
    <col min="2" max="2" width="13.69921875" customWidth="1"/>
    <col min="3" max="3" width="20" customWidth="1"/>
    <col min="4" max="4" width="16.19921875" style="9" customWidth="1"/>
    <col min="5" max="5" width="21.69921875" style="10" customWidth="1"/>
    <col min="6" max="6" width="45.69921875" bestFit="1" customWidth="1"/>
    <col min="7" max="7" width="14.19921875" style="11" customWidth="1"/>
    <col min="8" max="9" width="11.5" bestFit="1" customWidth="1"/>
    <col min="10" max="10" width="11.796875" bestFit="1" customWidth="1"/>
  </cols>
  <sheetData>
    <row r="2" spans="2:7" x14ac:dyDescent="0.3">
      <c r="B2" s="6" t="s">
        <v>0</v>
      </c>
      <c r="C2" s="6" t="s">
        <v>1</v>
      </c>
      <c r="D2" s="7" t="s">
        <v>2</v>
      </c>
      <c r="E2" s="6" t="s">
        <v>3</v>
      </c>
      <c r="F2" s="6" t="s">
        <v>4</v>
      </c>
      <c r="G2" s="8" t="s">
        <v>5</v>
      </c>
    </row>
    <row r="3" spans="2:7" x14ac:dyDescent="0.3">
      <c r="B3" s="3" t="s">
        <v>25</v>
      </c>
      <c r="C3" s="3" t="s">
        <v>26</v>
      </c>
      <c r="D3" s="4" t="s">
        <v>369</v>
      </c>
      <c r="E3" s="5" t="s">
        <v>370</v>
      </c>
      <c r="F3" s="3" t="s">
        <v>103</v>
      </c>
      <c r="G3" s="15"/>
    </row>
    <row r="4" spans="2:7" x14ac:dyDescent="0.3">
      <c r="B4" s="3" t="s">
        <v>6</v>
      </c>
      <c r="C4" s="3" t="s">
        <v>7</v>
      </c>
      <c r="D4" s="4" t="s">
        <v>292</v>
      </c>
      <c r="E4" s="5" t="s">
        <v>227</v>
      </c>
      <c r="F4" s="3" t="s">
        <v>203</v>
      </c>
      <c r="G4" s="15"/>
    </row>
    <row r="5" spans="2:7" s="1" customFormat="1" x14ac:dyDescent="0.3">
      <c r="B5" s="3" t="s">
        <v>128</v>
      </c>
      <c r="C5" s="3" t="s">
        <v>143</v>
      </c>
      <c r="D5" s="4" t="s">
        <v>292</v>
      </c>
      <c r="E5" s="5" t="s">
        <v>306</v>
      </c>
      <c r="F5" s="3" t="s">
        <v>137</v>
      </c>
      <c r="G5" s="15"/>
    </row>
    <row r="6" spans="2:7" x14ac:dyDescent="0.3">
      <c r="B6" s="3" t="s">
        <v>9</v>
      </c>
      <c r="C6" s="3" t="s">
        <v>10</v>
      </c>
      <c r="D6" s="4" t="s">
        <v>377</v>
      </c>
      <c r="E6" s="5" t="s">
        <v>391</v>
      </c>
      <c r="F6" s="3" t="s">
        <v>144</v>
      </c>
      <c r="G6" s="15"/>
    </row>
    <row r="7" spans="2:7" x14ac:dyDescent="0.3">
      <c r="B7" s="3" t="s">
        <v>55</v>
      </c>
      <c r="C7" s="3" t="s">
        <v>56</v>
      </c>
      <c r="D7" s="4" t="s">
        <v>395</v>
      </c>
      <c r="E7" s="5" t="s">
        <v>396</v>
      </c>
      <c r="F7" s="3" t="s">
        <v>146</v>
      </c>
      <c r="G7" s="15"/>
    </row>
    <row r="8" spans="2:7" x14ac:dyDescent="0.3">
      <c r="B8" s="3" t="s">
        <v>37</v>
      </c>
      <c r="C8" s="3" t="s">
        <v>38</v>
      </c>
      <c r="D8" s="4" t="s">
        <v>304</v>
      </c>
      <c r="E8" s="5" t="s">
        <v>95</v>
      </c>
      <c r="F8" s="3" t="s">
        <v>60</v>
      </c>
      <c r="G8" s="15"/>
    </row>
    <row r="9" spans="2:7" x14ac:dyDescent="0.3">
      <c r="B9" s="3" t="s">
        <v>40</v>
      </c>
      <c r="C9" s="3" t="s">
        <v>41</v>
      </c>
      <c r="D9" s="4" t="s">
        <v>397</v>
      </c>
      <c r="E9" s="5" t="s">
        <v>398</v>
      </c>
      <c r="F9" s="3" t="s">
        <v>98</v>
      </c>
      <c r="G9" s="15"/>
    </row>
    <row r="10" spans="2:7" x14ac:dyDescent="0.3">
      <c r="B10" s="3" t="s">
        <v>40</v>
      </c>
      <c r="C10" s="3" t="s">
        <v>41</v>
      </c>
      <c r="D10" s="4" t="s">
        <v>397</v>
      </c>
      <c r="E10" s="5" t="s">
        <v>399</v>
      </c>
      <c r="F10" s="3" t="s">
        <v>136</v>
      </c>
      <c r="G10" s="15"/>
    </row>
    <row r="11" spans="2:7" x14ac:dyDescent="0.3">
      <c r="B11" s="3" t="s">
        <v>17</v>
      </c>
      <c r="C11" s="3" t="s">
        <v>18</v>
      </c>
      <c r="D11" s="4" t="s">
        <v>315</v>
      </c>
      <c r="E11" s="5" t="s">
        <v>318</v>
      </c>
      <c r="F11" s="3" t="s">
        <v>189</v>
      </c>
      <c r="G11" s="15"/>
    </row>
    <row r="12" spans="2:7" x14ac:dyDescent="0.3">
      <c r="B12" s="3" t="s">
        <v>11</v>
      </c>
      <c r="C12" s="3" t="s">
        <v>12</v>
      </c>
      <c r="D12" s="4" t="s">
        <v>340</v>
      </c>
      <c r="E12" s="5" t="s">
        <v>349</v>
      </c>
      <c r="F12" s="3" t="s">
        <v>63</v>
      </c>
      <c r="G12" s="15"/>
    </row>
    <row r="13" spans="2:7" x14ac:dyDescent="0.3">
      <c r="B13" s="3" t="s">
        <v>13</v>
      </c>
      <c r="C13" s="3" t="s">
        <v>14</v>
      </c>
      <c r="D13" s="4" t="s">
        <v>298</v>
      </c>
      <c r="E13" s="5" t="s">
        <v>74</v>
      </c>
      <c r="F13" s="3" t="s">
        <v>22</v>
      </c>
      <c r="G13" s="15"/>
    </row>
    <row r="14" spans="2:7" x14ac:dyDescent="0.3">
      <c r="B14" s="3" t="s">
        <v>432</v>
      </c>
      <c r="C14" s="3" t="s">
        <v>433</v>
      </c>
      <c r="D14" s="4" t="s">
        <v>434</v>
      </c>
      <c r="E14" s="5" t="s">
        <v>435</v>
      </c>
      <c r="F14" s="3" t="s">
        <v>443</v>
      </c>
      <c r="G14" s="15"/>
    </row>
    <row r="15" spans="2:7" x14ac:dyDescent="0.3">
      <c r="B15" s="3" t="s">
        <v>19</v>
      </c>
      <c r="C15" s="3" t="s">
        <v>20</v>
      </c>
      <c r="D15" s="4" t="s">
        <v>32</v>
      </c>
      <c r="E15" s="5" t="s">
        <v>79</v>
      </c>
      <c r="F15" s="3" t="s">
        <v>444</v>
      </c>
      <c r="G15" s="15"/>
    </row>
    <row r="16" spans="2:7" x14ac:dyDescent="0.3">
      <c r="G16" s="27">
        <f>SUM(G4:G15)</f>
        <v>0</v>
      </c>
    </row>
    <row r="20" spans="10:10" x14ac:dyDescent="0.3">
      <c r="J20" s="14" t="e">
        <f>+#REF!+'[2]AOUT 25'!$C$43</f>
        <v>#REF!</v>
      </c>
    </row>
  </sheetData>
  <autoFilter ref="B2:G15" xr:uid="{00000000-0009-0000-0000-000000000000}">
    <sortState ref="B3:G15">
      <sortCondition ref="F2:F15"/>
    </sortState>
  </autoFilter>
  <conditionalFormatting sqref="E1:F2 E4:F1048576">
    <cfRule type="duplicateValues" dxfId="18" priority="54"/>
  </conditionalFormatting>
  <conditionalFormatting sqref="F1:F2 F4:F1048576">
    <cfRule type="duplicateValues" dxfId="17" priority="19"/>
  </conditionalFormatting>
  <conditionalFormatting sqref="F16:F1048576">
    <cfRule type="duplicateValues" dxfId="16" priority="18"/>
  </conditionalFormatting>
  <conditionalFormatting sqref="E4:E11">
    <cfRule type="duplicateValues" dxfId="15" priority="2236"/>
  </conditionalFormatting>
  <conditionalFormatting sqref="F4:F11">
    <cfRule type="duplicateValues" dxfId="14" priority="2237"/>
  </conditionalFormatting>
  <conditionalFormatting sqref="F5:F11">
    <cfRule type="duplicateValues" dxfId="13" priority="2238"/>
  </conditionalFormatting>
  <conditionalFormatting sqref="F12:F15">
    <cfRule type="duplicateValues" dxfId="12" priority="2274"/>
  </conditionalFormatting>
  <conditionalFormatting sqref="F4:F15">
    <cfRule type="duplicateValues" dxfId="11" priority="2278"/>
  </conditionalFormatting>
  <conditionalFormatting sqref="E1:E2 E16:E1048576">
    <cfRule type="duplicateValues" dxfId="10" priority="2315"/>
  </conditionalFormatting>
  <conditionalFormatting sqref="E1:E2 E4:E1048576">
    <cfRule type="duplicateValues" dxfId="9" priority="2318"/>
  </conditionalFormatting>
  <conditionalFormatting sqref="E4:E15">
    <cfRule type="duplicateValues" dxfId="8" priority="2324"/>
  </conditionalFormatting>
  <conditionalFormatting sqref="E12:E15">
    <cfRule type="duplicateValues" dxfId="7" priority="2325"/>
  </conditionalFormatting>
  <conditionalFormatting sqref="E3:F3">
    <cfRule type="duplicateValues" dxfId="6" priority="2"/>
  </conditionalFormatting>
  <conditionalFormatting sqref="F3">
    <cfRule type="duplicateValues" dxfId="5" priority="1"/>
  </conditionalFormatting>
  <conditionalFormatting sqref="E3">
    <cfRule type="duplicateValues" dxfId="4" priority="3"/>
  </conditionalFormatting>
  <conditionalFormatting sqref="F3">
    <cfRule type="duplicateValues" dxfId="3" priority="4"/>
  </conditionalFormatting>
  <conditionalFormatting sqref="F3">
    <cfRule type="duplicateValues" dxfId="2" priority="5"/>
  </conditionalFormatting>
  <conditionalFormatting sqref="E3">
    <cfRule type="duplicateValues" dxfId="1" priority="6"/>
  </conditionalFormatting>
  <conditionalFormatting sqref="E3">
    <cfRule type="duplicateValues" dxfId="0" priority="7"/>
  </conditionalFormatting>
  <pageMargins left="0.7" right="0.7" top="0.75" bottom="0.75" header="0.3" footer="0.3"/>
  <pageSetup paperSize="9" scale="49" orientation="portrait" r:id="rId1"/>
  <colBreaks count="1" manualBreakCount="1">
    <brk id="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2</vt:i4>
      </vt:variant>
    </vt:vector>
  </HeadingPairs>
  <TitlesOfParts>
    <vt:vector size="4" baseType="lpstr">
      <vt:lpstr>Virement Aout 25 </vt:lpstr>
      <vt:lpstr>Virement Aout 25 ok</vt:lpstr>
      <vt:lpstr>'Virement Aout 25 '!Zone_d_impression</vt:lpstr>
      <vt:lpstr>'Virement Aout 25 ok'!Zone_d_impression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Boris ZANNOU</dc:creator>
  <cp:lastModifiedBy>HP</cp:lastModifiedBy>
  <dcterms:created xsi:type="dcterms:W3CDTF">2024-05-26T18:56:13Z</dcterms:created>
  <dcterms:modified xsi:type="dcterms:W3CDTF">2025-10-07T10:59:21Z</dcterms:modified>
</cp:coreProperties>
</file>