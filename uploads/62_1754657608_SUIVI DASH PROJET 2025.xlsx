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ovo\Desktop\COMPTES CLIENT\FAQ IA\"/>
    </mc:Choice>
  </mc:AlternateContent>
  <xr:revisionPtr revIDLastSave="0" documentId="13_ncr:1_{7113B7CA-8313-4CA0-93BC-DDBCE3D5C286}" xr6:coauthVersionLast="47" xr6:coauthVersionMax="47" xr10:uidLastSave="{00000000-0000-0000-0000-000000000000}"/>
  <bookViews>
    <workbookView xWindow="2070" yWindow="570" windowWidth="24585" windowHeight="13875" xr2:uid="{00000000-000D-0000-FFFF-FFFF00000000}"/>
  </bookViews>
  <sheets>
    <sheet name="Data" sheetId="1" r:id="rId1"/>
    <sheet name="Calculations" sheetId="4" r:id="rId2"/>
    <sheet name="DASHBOARD" sheetId="3" r:id="rId3"/>
  </sheets>
  <definedNames>
    <definedName name="_xlchart.v1.0" hidden="1">Calculations!$G$11:$H$11</definedName>
    <definedName name="Category">#REF!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G20" i="1"/>
  <c r="G21" i="1"/>
  <c r="G22" i="1"/>
  <c r="K26" i="4"/>
  <c r="M26" i="4"/>
  <c r="N26" i="4" s="1"/>
  <c r="L26" i="4"/>
  <c r="G8" i="1"/>
  <c r="G9" i="1"/>
  <c r="G10" i="1"/>
  <c r="G11" i="1"/>
  <c r="G12" i="1"/>
  <c r="G13" i="1"/>
  <c r="G14" i="1"/>
  <c r="G15" i="1"/>
  <c r="G6" i="1"/>
  <c r="G7" i="1"/>
  <c r="K17" i="1" a="1"/>
  <c r="K17" i="1" s="1"/>
  <c r="B13" i="4"/>
  <c r="J29" i="4"/>
  <c r="J31" i="4"/>
  <c r="J33" i="4"/>
  <c r="J27" i="4"/>
  <c r="J19" i="4"/>
  <c r="J28" i="4"/>
  <c r="J30" i="4"/>
  <c r="J32" i="4"/>
  <c r="J34" i="4"/>
  <c r="J13" i="4"/>
  <c r="B14" i="4"/>
  <c r="B16" i="4"/>
  <c r="B19" i="4"/>
  <c r="B17" i="4"/>
  <c r="B20" i="4"/>
  <c r="B18" i="4"/>
  <c r="B15" i="4"/>
  <c r="L13" i="4" l="1"/>
  <c r="K34" i="4"/>
  <c r="K32" i="4"/>
  <c r="K30" i="4"/>
  <c r="K28" i="4"/>
  <c r="L27" i="4"/>
  <c r="M33" i="4"/>
  <c r="N33" i="4" s="1"/>
  <c r="L33" i="4"/>
  <c r="L31" i="4"/>
  <c r="M29" i="4"/>
  <c r="N29" i="4" s="1"/>
  <c r="L29" i="4"/>
  <c r="K13" i="4"/>
  <c r="M31" i="4"/>
  <c r="N31" i="4" s="1"/>
  <c r="M27" i="4"/>
  <c r="N27" i="4" s="1"/>
  <c r="L28" i="4"/>
  <c r="L30" i="4"/>
  <c r="L32" i="4"/>
  <c r="L34" i="4"/>
  <c r="K27" i="4"/>
  <c r="M28" i="4"/>
  <c r="N28" i="4" s="1"/>
  <c r="K29" i="4"/>
  <c r="M30" i="4"/>
  <c r="N30" i="4" s="1"/>
  <c r="K31" i="4"/>
  <c r="M32" i="4"/>
  <c r="N32" i="4" s="1"/>
  <c r="K33" i="4"/>
  <c r="M34" i="4"/>
  <c r="N34" i="4" s="1"/>
  <c r="K7" i="4"/>
  <c r="K6" i="4"/>
  <c r="K5" i="4"/>
  <c r="G14" i="4"/>
  <c r="H14" i="4" s="1"/>
  <c r="F16" i="4"/>
  <c r="D18" i="4" a="1"/>
  <c r="D18" i="4" s="1"/>
  <c r="G20" i="4"/>
  <c r="H20" i="4" s="1"/>
  <c r="M11" i="4"/>
  <c r="N11" i="4" s="1"/>
  <c r="K11" i="4"/>
  <c r="J5" i="3"/>
  <c r="K16" i="1" a="1"/>
  <c r="K16" i="1" s="1"/>
  <c r="L15" i="1" a="1"/>
  <c r="L15" i="1" s="1"/>
  <c r="M15" i="1" a="1"/>
  <c r="M15" i="1" s="1"/>
  <c r="N15" i="1" a="1"/>
  <c r="N15" i="1" s="1"/>
  <c r="O15" i="1" a="1"/>
  <c r="O15" i="1" s="1"/>
  <c r="Q15" i="1" a="1"/>
  <c r="Q15" i="1" s="1"/>
  <c r="L16" i="1" a="1"/>
  <c r="L16" i="1" s="1"/>
  <c r="M16" i="1" a="1"/>
  <c r="M16" i="1" s="1"/>
  <c r="N16" i="1" a="1"/>
  <c r="N16" i="1" s="1"/>
  <c r="O16" i="1" a="1"/>
  <c r="O16" i="1" s="1"/>
  <c r="Q16" i="1" a="1"/>
  <c r="Q16" i="1" s="1"/>
  <c r="K18" i="1" a="1"/>
  <c r="K18" i="1" s="1"/>
  <c r="L17" i="1" a="1"/>
  <c r="L17" i="1" s="1"/>
  <c r="M17" i="1" a="1"/>
  <c r="M17" i="1" s="1"/>
  <c r="N17" i="1" a="1"/>
  <c r="N17" i="1" s="1"/>
  <c r="O17" i="1" a="1"/>
  <c r="O17" i="1" s="1"/>
  <c r="Q17" i="1" a="1"/>
  <c r="Q17" i="1" s="1"/>
  <c r="K19" i="1" a="1"/>
  <c r="K19" i="1" s="1"/>
  <c r="L18" i="1" a="1"/>
  <c r="L18" i="1" s="1"/>
  <c r="M18" i="1" a="1"/>
  <c r="M18" i="1" s="1"/>
  <c r="N18" i="1" a="1"/>
  <c r="N18" i="1" s="1"/>
  <c r="O18" i="1" a="1"/>
  <c r="O18" i="1" s="1"/>
  <c r="Q18" i="1" a="1"/>
  <c r="Q18" i="1" s="1"/>
  <c r="K20" i="1" a="1"/>
  <c r="K20" i="1" s="1"/>
  <c r="L19" i="1" a="1"/>
  <c r="L19" i="1" s="1"/>
  <c r="M19" i="1" a="1"/>
  <c r="M19" i="1" s="1"/>
  <c r="N19" i="1" a="1"/>
  <c r="N19" i="1" s="1"/>
  <c r="O19" i="1" a="1"/>
  <c r="O19" i="1" s="1"/>
  <c r="Q19" i="1" a="1"/>
  <c r="Q19" i="1" s="1"/>
  <c r="K21" i="1" a="1"/>
  <c r="K21" i="1" s="1"/>
  <c r="L20" i="1" a="1"/>
  <c r="L20" i="1" s="1"/>
  <c r="M20" i="1" a="1"/>
  <c r="M20" i="1" s="1"/>
  <c r="N20" i="1" a="1"/>
  <c r="N20" i="1" s="1"/>
  <c r="O20" i="1" a="1"/>
  <c r="O20" i="1" s="1"/>
  <c r="Q20" i="1" a="1"/>
  <c r="Q20" i="1" s="1"/>
  <c r="K22" i="1" a="1"/>
  <c r="K22" i="1" s="1"/>
  <c r="L21" i="1" a="1"/>
  <c r="L21" i="1" s="1"/>
  <c r="M21" i="1" a="1"/>
  <c r="M21" i="1" s="1"/>
  <c r="N21" i="1" a="1"/>
  <c r="N21" i="1" s="1"/>
  <c r="O21" i="1" a="1"/>
  <c r="O21" i="1" s="1"/>
  <c r="Q21" i="1" a="1"/>
  <c r="Q21" i="1" s="1"/>
  <c r="K23" i="1" a="1"/>
  <c r="K23" i="1" s="1"/>
  <c r="L22" i="1" a="1"/>
  <c r="L22" i="1" s="1"/>
  <c r="M22" i="1" a="1"/>
  <c r="M22" i="1" s="1"/>
  <c r="N22" i="1" a="1"/>
  <c r="N22" i="1" s="1"/>
  <c r="O22" i="1" a="1"/>
  <c r="O22" i="1" s="1"/>
  <c r="Q22" i="1" a="1"/>
  <c r="Q22" i="1" s="1"/>
  <c r="K24" i="1" a="1"/>
  <c r="K24" i="1" s="1"/>
  <c r="L23" i="1" a="1"/>
  <c r="L23" i="1" s="1"/>
  <c r="M23" i="1" a="1"/>
  <c r="M23" i="1" s="1"/>
  <c r="N23" i="1" a="1"/>
  <c r="N23" i="1" s="1"/>
  <c r="O23" i="1" a="1"/>
  <c r="O23" i="1" s="1"/>
  <c r="Q23" i="1" a="1"/>
  <c r="Q23" i="1" s="1"/>
  <c r="K25" i="1" a="1"/>
  <c r="K25" i="1" s="1"/>
  <c r="L24" i="1" a="1"/>
  <c r="L24" i="1" s="1"/>
  <c r="M24" i="1" a="1"/>
  <c r="M24" i="1" s="1"/>
  <c r="N24" i="1" a="1"/>
  <c r="N24" i="1" s="1"/>
  <c r="O24" i="1" a="1"/>
  <c r="O24" i="1" s="1"/>
  <c r="Q24" i="1" a="1"/>
  <c r="Q24" i="1" s="1"/>
  <c r="K26" i="1" a="1"/>
  <c r="K26" i="1" s="1"/>
  <c r="L25" i="1" a="1"/>
  <c r="L25" i="1" s="1"/>
  <c r="M25" i="1" a="1"/>
  <c r="M25" i="1" s="1"/>
  <c r="J35" i="4" s="1"/>
  <c r="N25" i="1" a="1"/>
  <c r="N25" i="1" s="1"/>
  <c r="O25" i="1" a="1"/>
  <c r="O25" i="1" s="1"/>
  <c r="Q25" i="1" a="1"/>
  <c r="Q25" i="1" s="1"/>
  <c r="K27" i="1" a="1"/>
  <c r="K27" i="1" s="1"/>
  <c r="L26" i="1" a="1"/>
  <c r="L26" i="1" s="1"/>
  <c r="M26" i="1" a="1"/>
  <c r="M26" i="1" s="1"/>
  <c r="J36" i="4" s="1"/>
  <c r="N26" i="1" a="1"/>
  <c r="N26" i="1" s="1"/>
  <c r="O26" i="1" a="1"/>
  <c r="O26" i="1" s="1"/>
  <c r="Q26" i="1" a="1"/>
  <c r="Q26" i="1" s="1"/>
  <c r="K28" i="1" a="1"/>
  <c r="K28" i="1" s="1"/>
  <c r="M27" i="1" a="1"/>
  <c r="M27" i="1" s="1"/>
  <c r="N27" i="1" a="1"/>
  <c r="N27" i="1" s="1"/>
  <c r="O27" i="1" a="1"/>
  <c r="O27" i="1" s="1"/>
  <c r="Q27" i="1" a="1"/>
  <c r="Q27" i="1" s="1"/>
  <c r="K29" i="1" a="1"/>
  <c r="K29" i="1" s="1"/>
  <c r="L28" i="1" a="1"/>
  <c r="L28" i="1" s="1"/>
  <c r="M28" i="1" a="1"/>
  <c r="M28" i="1" s="1"/>
  <c r="N28" i="1" a="1"/>
  <c r="N28" i="1" s="1"/>
  <c r="O28" i="1" a="1"/>
  <c r="O28" i="1" s="1"/>
  <c r="Q28" i="1" a="1"/>
  <c r="Q28" i="1" s="1"/>
  <c r="K30" i="1" a="1"/>
  <c r="K30" i="1" s="1"/>
  <c r="L29" i="1" a="1"/>
  <c r="L29" i="1" s="1"/>
  <c r="M29" i="1" a="1"/>
  <c r="M29" i="1" s="1"/>
  <c r="N29" i="1" a="1"/>
  <c r="N29" i="1" s="1"/>
  <c r="O29" i="1" a="1"/>
  <c r="O29" i="1" s="1"/>
  <c r="Q29" i="1" a="1"/>
  <c r="Q29" i="1" s="1"/>
  <c r="K31" i="1" a="1"/>
  <c r="K31" i="1" s="1"/>
  <c r="L30" i="1" a="1"/>
  <c r="L30" i="1" s="1"/>
  <c r="M30" i="1" a="1"/>
  <c r="M30" i="1" s="1"/>
  <c r="N30" i="1" a="1"/>
  <c r="N30" i="1" s="1"/>
  <c r="O30" i="1" a="1"/>
  <c r="O30" i="1" s="1"/>
  <c r="Q30" i="1" a="1"/>
  <c r="Q30" i="1" s="1"/>
  <c r="K32" i="1" a="1"/>
  <c r="K32" i="1" s="1"/>
  <c r="L31" i="1" a="1"/>
  <c r="L31" i="1" s="1"/>
  <c r="M31" i="1" a="1"/>
  <c r="M31" i="1" s="1"/>
  <c r="N31" i="1" a="1"/>
  <c r="N31" i="1" s="1"/>
  <c r="O31" i="1" a="1"/>
  <c r="O31" i="1" s="1"/>
  <c r="Q31" i="1" a="1"/>
  <c r="Q31" i="1" s="1"/>
  <c r="K33" i="1" a="1"/>
  <c r="K33" i="1" s="1"/>
  <c r="L32" i="1" a="1"/>
  <c r="L32" i="1" s="1"/>
  <c r="M32" i="1" a="1"/>
  <c r="M32" i="1" s="1"/>
  <c r="N32" i="1" a="1"/>
  <c r="N32" i="1" s="1"/>
  <c r="O32" i="1" a="1"/>
  <c r="O32" i="1" s="1"/>
  <c r="Q32" i="1" a="1"/>
  <c r="Q32" i="1" s="1"/>
  <c r="K34" i="1" a="1"/>
  <c r="K34" i="1" s="1"/>
  <c r="L33" i="1" a="1"/>
  <c r="L33" i="1" s="1"/>
  <c r="M33" i="1" a="1"/>
  <c r="M33" i="1" s="1"/>
  <c r="N33" i="1" a="1"/>
  <c r="N33" i="1" s="1"/>
  <c r="O33" i="1" a="1"/>
  <c r="O33" i="1" s="1"/>
  <c r="P33" i="1" a="1"/>
  <c r="P33" i="1" s="1"/>
  <c r="Q33" i="1" a="1"/>
  <c r="Q33" i="1" s="1"/>
  <c r="K35" i="1" a="1"/>
  <c r="K35" i="1" s="1"/>
  <c r="L34" i="1" a="1"/>
  <c r="L34" i="1" s="1"/>
  <c r="M34" i="1" a="1"/>
  <c r="M34" i="1" s="1"/>
  <c r="N34" i="1" a="1"/>
  <c r="N34" i="1" s="1"/>
  <c r="O34" i="1" a="1"/>
  <c r="O34" i="1" s="1"/>
  <c r="P34" i="1" a="1"/>
  <c r="P34" i="1" s="1"/>
  <c r="Q34" i="1" a="1"/>
  <c r="Q34" i="1" s="1"/>
  <c r="K36" i="1" a="1"/>
  <c r="K36" i="1" s="1"/>
  <c r="L35" i="1" a="1"/>
  <c r="L35" i="1" s="1"/>
  <c r="M35" i="1" a="1"/>
  <c r="M35" i="1" s="1"/>
  <c r="N35" i="1" a="1"/>
  <c r="N35" i="1" s="1"/>
  <c r="O35" i="1" a="1"/>
  <c r="O35" i="1" s="1"/>
  <c r="P35" i="1" a="1"/>
  <c r="P35" i="1" s="1"/>
  <c r="Q35" i="1" a="1"/>
  <c r="Q35" i="1" s="1"/>
  <c r="K37" i="1" a="1"/>
  <c r="K37" i="1" s="1"/>
  <c r="L36" i="1" a="1"/>
  <c r="L36" i="1" s="1"/>
  <c r="M36" i="1" a="1"/>
  <c r="M36" i="1" s="1"/>
  <c r="N36" i="1" a="1"/>
  <c r="N36" i="1" s="1"/>
  <c r="O36" i="1" a="1"/>
  <c r="O36" i="1" s="1"/>
  <c r="P36" i="1" a="1"/>
  <c r="P36" i="1" s="1"/>
  <c r="Q36" i="1" a="1"/>
  <c r="Q36" i="1" s="1"/>
  <c r="K38" i="1" a="1"/>
  <c r="K38" i="1" s="1"/>
  <c r="L37" i="1" a="1"/>
  <c r="L37" i="1" s="1"/>
  <c r="M37" i="1" a="1"/>
  <c r="M37" i="1" s="1"/>
  <c r="N37" i="1" a="1"/>
  <c r="N37" i="1" s="1"/>
  <c r="O37" i="1" a="1"/>
  <c r="O37" i="1" s="1"/>
  <c r="P37" i="1" a="1"/>
  <c r="P37" i="1" s="1"/>
  <c r="Q37" i="1" a="1"/>
  <c r="Q37" i="1" s="1"/>
  <c r="K39" i="1" a="1"/>
  <c r="K39" i="1" s="1"/>
  <c r="L38" i="1" a="1"/>
  <c r="L38" i="1" s="1"/>
  <c r="M38" i="1" a="1"/>
  <c r="M38" i="1" s="1"/>
  <c r="N38" i="1" a="1"/>
  <c r="N38" i="1" s="1"/>
  <c r="O38" i="1" a="1"/>
  <c r="O38" i="1" s="1"/>
  <c r="P38" i="1" a="1"/>
  <c r="P38" i="1" s="1"/>
  <c r="Q38" i="1" a="1"/>
  <c r="Q38" i="1" s="1"/>
  <c r="K40" i="1" a="1"/>
  <c r="K40" i="1" s="1"/>
  <c r="L39" i="1" a="1"/>
  <c r="L39" i="1" s="1"/>
  <c r="M39" i="1" a="1"/>
  <c r="M39" i="1" s="1"/>
  <c r="N39" i="1" a="1"/>
  <c r="N39" i="1" s="1"/>
  <c r="O39" i="1" a="1"/>
  <c r="O39" i="1" s="1"/>
  <c r="P39" i="1" a="1"/>
  <c r="P39" i="1" s="1"/>
  <c r="Q39" i="1" a="1"/>
  <c r="Q39" i="1" s="1"/>
  <c r="K41" i="1" a="1"/>
  <c r="K41" i="1" s="1"/>
  <c r="L40" i="1" a="1"/>
  <c r="L40" i="1" s="1"/>
  <c r="M40" i="1" a="1"/>
  <c r="M40" i="1" s="1"/>
  <c r="N40" i="1" a="1"/>
  <c r="N40" i="1" s="1"/>
  <c r="O40" i="1" a="1"/>
  <c r="O40" i="1" s="1"/>
  <c r="P40" i="1" a="1"/>
  <c r="P40" i="1" s="1"/>
  <c r="Q40" i="1" a="1"/>
  <c r="Q40" i="1" s="1"/>
  <c r="K42" i="1" a="1"/>
  <c r="K42" i="1" s="1"/>
  <c r="L41" i="1" a="1"/>
  <c r="L41" i="1" s="1"/>
  <c r="M41" i="1" a="1"/>
  <c r="M41" i="1" s="1"/>
  <c r="N41" i="1" a="1"/>
  <c r="N41" i="1" s="1"/>
  <c r="O41" i="1" a="1"/>
  <c r="O41" i="1" s="1"/>
  <c r="P41" i="1" a="1"/>
  <c r="P41" i="1" s="1"/>
  <c r="Q41" i="1" a="1"/>
  <c r="Q41" i="1" s="1"/>
  <c r="K43" i="1" a="1"/>
  <c r="K43" i="1" s="1"/>
  <c r="L42" i="1" a="1"/>
  <c r="L42" i="1" s="1"/>
  <c r="M42" i="1" a="1"/>
  <c r="M42" i="1" s="1"/>
  <c r="N42" i="1" a="1"/>
  <c r="N42" i="1" s="1"/>
  <c r="O42" i="1" a="1"/>
  <c r="O42" i="1" s="1"/>
  <c r="P42" i="1" a="1"/>
  <c r="P42" i="1" s="1"/>
  <c r="Q42" i="1" a="1"/>
  <c r="Q42" i="1" s="1"/>
  <c r="K44" i="1" a="1"/>
  <c r="K44" i="1" s="1"/>
  <c r="L43" i="1" a="1"/>
  <c r="L43" i="1" s="1"/>
  <c r="M43" i="1" a="1"/>
  <c r="M43" i="1" s="1"/>
  <c r="N43" i="1" a="1"/>
  <c r="N43" i="1" s="1"/>
  <c r="O43" i="1" a="1"/>
  <c r="O43" i="1" s="1"/>
  <c r="P43" i="1" a="1"/>
  <c r="P43" i="1" s="1"/>
  <c r="Q43" i="1" a="1"/>
  <c r="Q43" i="1" s="1"/>
  <c r="K45" i="1" a="1"/>
  <c r="K45" i="1" s="1"/>
  <c r="L44" i="1" a="1"/>
  <c r="L44" i="1" s="1"/>
  <c r="M44" i="1" a="1"/>
  <c r="M44" i="1" s="1"/>
  <c r="N44" i="1" a="1"/>
  <c r="N44" i="1" s="1"/>
  <c r="O44" i="1" a="1"/>
  <c r="O44" i="1" s="1"/>
  <c r="P44" i="1" a="1"/>
  <c r="P44" i="1" s="1"/>
  <c r="Q44" i="1" a="1"/>
  <c r="Q44" i="1" s="1"/>
  <c r="L14" i="1" a="1"/>
  <c r="L14" i="1" s="1"/>
  <c r="M14" i="1" a="1"/>
  <c r="M14" i="1" s="1"/>
  <c r="N14" i="1" a="1"/>
  <c r="N14" i="1" s="1"/>
  <c r="O14" i="1" a="1"/>
  <c r="O14" i="1" s="1"/>
  <c r="Q14" i="1" a="1"/>
  <c r="Q14" i="1" s="1"/>
  <c r="K15" i="1" a="1"/>
  <c r="K15" i="1" s="1"/>
  <c r="C3" i="4"/>
  <c r="C11" i="4"/>
  <c r="C5" i="4" s="1"/>
  <c r="F21" i="4"/>
  <c r="F15" i="4"/>
  <c r="C13" i="4"/>
  <c r="G19" i="4"/>
  <c r="H19" i="4" s="1"/>
  <c r="G11" i="4"/>
  <c r="H11" i="4" s="1"/>
  <c r="D11" i="4"/>
  <c r="P32" i="1" a="1"/>
  <c r="P32" i="1" s="1"/>
  <c r="P31" i="1" a="1"/>
  <c r="P31" i="1" s="1"/>
  <c r="P30" i="1" a="1"/>
  <c r="P30" i="1" s="1"/>
  <c r="P29" i="1" a="1"/>
  <c r="P29" i="1" s="1"/>
  <c r="P28" i="1" a="1"/>
  <c r="P28" i="1" s="1"/>
  <c r="P27" i="1" a="1"/>
  <c r="P27" i="1" s="1"/>
  <c r="P26" i="1" a="1"/>
  <c r="P26" i="1" s="1"/>
  <c r="P25" i="1" a="1"/>
  <c r="P25" i="1" s="1"/>
  <c r="P24" i="1" a="1"/>
  <c r="P24" i="1" s="1"/>
  <c r="P23" i="1" a="1"/>
  <c r="P23" i="1" s="1"/>
  <c r="P22" i="1" a="1"/>
  <c r="P22" i="1" s="1"/>
  <c r="P21" i="1" a="1"/>
  <c r="P21" i="1" s="1"/>
  <c r="P20" i="1" a="1"/>
  <c r="P20" i="1" s="1"/>
  <c r="P19" i="1" a="1"/>
  <c r="P19" i="1" s="1"/>
  <c r="P18" i="1" a="1"/>
  <c r="P18" i="1" s="1"/>
  <c r="P17" i="1" a="1"/>
  <c r="P17" i="1" s="1"/>
  <c r="G5" i="1"/>
  <c r="G4" i="1"/>
  <c r="P15" i="1" s="1" a="1"/>
  <c r="P15" i="1" s="1"/>
  <c r="G3" i="1"/>
  <c r="G2" i="1"/>
  <c r="J20" i="4"/>
  <c r="B12" i="4"/>
  <c r="J12" i="4"/>
  <c r="J14" i="4"/>
  <c r="J17" i="4"/>
  <c r="J16" i="4"/>
  <c r="J15" i="4"/>
  <c r="J18" i="4"/>
  <c r="J21" i="4"/>
  <c r="K15" i="4" l="1"/>
  <c r="K16" i="4"/>
  <c r="K14" i="4"/>
  <c r="K12" i="4"/>
  <c r="K36" i="4"/>
  <c r="O36" i="4" s="1"/>
  <c r="K35" i="4"/>
  <c r="O35" i="4" s="1"/>
  <c r="M36" i="4"/>
  <c r="N36" i="4" s="1"/>
  <c r="M35" i="4"/>
  <c r="N35" i="4" s="1"/>
  <c r="L35" i="4"/>
  <c r="L36" i="4"/>
  <c r="L12" i="4"/>
  <c r="P14" i="1" a="1"/>
  <c r="P14" i="1" s="1"/>
  <c r="K3" i="4"/>
  <c r="O34" i="4" s="1"/>
  <c r="P16" i="1" a="1"/>
  <c r="P16" i="1" s="1"/>
  <c r="D12" i="4" a="1"/>
  <c r="D12" i="4" s="1"/>
  <c r="K21" i="4"/>
  <c r="O21" i="4" s="1"/>
  <c r="K19" i="4"/>
  <c r="M19" i="4"/>
  <c r="N19" i="4" s="1"/>
  <c r="K17" i="4"/>
  <c r="L15" i="4"/>
  <c r="O13" i="4"/>
  <c r="K20" i="4"/>
  <c r="O20" i="4" s="1"/>
  <c r="K18" i="4"/>
  <c r="M14" i="4"/>
  <c r="N14" i="4" s="1"/>
  <c r="L19" i="4"/>
  <c r="L14" i="4"/>
  <c r="M18" i="4"/>
  <c r="N18" i="4" s="1"/>
  <c r="M13" i="4"/>
  <c r="N13" i="4" s="1"/>
  <c r="L18" i="4"/>
  <c r="M17" i="4"/>
  <c r="N17" i="4" s="1"/>
  <c r="L17" i="4"/>
  <c r="M12" i="4"/>
  <c r="N12" i="4" s="1"/>
  <c r="E18" i="4" a="1"/>
  <c r="E18" i="4" s="1"/>
  <c r="M21" i="4"/>
  <c r="N21" i="4" s="1"/>
  <c r="M16" i="4"/>
  <c r="N16" i="4" s="1"/>
  <c r="L21" i="4"/>
  <c r="L16" i="4"/>
  <c r="M20" i="4"/>
  <c r="N20" i="4" s="1"/>
  <c r="M15" i="4"/>
  <c r="N15" i="4" s="1"/>
  <c r="L20" i="4"/>
  <c r="G16" i="4"/>
  <c r="H16" i="4" s="1"/>
  <c r="E11" i="4"/>
  <c r="E21" i="4" a="1"/>
  <c r="E21" i="4" s="1"/>
  <c r="E17" i="4" a="1"/>
  <c r="E17" i="4" s="1"/>
  <c r="D14" i="4" a="1"/>
  <c r="D14" i="4" s="1"/>
  <c r="C15" i="4"/>
  <c r="C19" i="4"/>
  <c r="E13" i="4" a="1"/>
  <c r="E13" i="4" s="1"/>
  <c r="D20" i="4" a="1"/>
  <c r="D20" i="4" s="1"/>
  <c r="C16" i="4"/>
  <c r="C20" i="4"/>
  <c r="E14" i="4" a="1"/>
  <c r="E14" i="4" s="1"/>
  <c r="D16" i="4" a="1"/>
  <c r="D16" i="4" s="1"/>
  <c r="F17" i="4"/>
  <c r="F18" i="4"/>
  <c r="E19" i="4" a="1"/>
  <c r="E19" i="4" s="1"/>
  <c r="E20" i="4" a="1"/>
  <c r="E20" i="4" s="1"/>
  <c r="D21" i="4" a="1"/>
  <c r="D21" i="4" s="1"/>
  <c r="G21" i="4"/>
  <c r="H21" i="4" s="1"/>
  <c r="D15" i="4" a="1"/>
  <c r="D15" i="4" s="1"/>
  <c r="G15" i="4"/>
  <c r="H15" i="4" s="1"/>
  <c r="C12" i="4"/>
  <c r="C17" i="4"/>
  <c r="C21" i="4"/>
  <c r="G12" i="4"/>
  <c r="H12" i="4" s="1"/>
  <c r="F13" i="4"/>
  <c r="F14" i="4"/>
  <c r="E15" i="4" a="1"/>
  <c r="E15" i="4" s="1"/>
  <c r="E16" i="4" a="1"/>
  <c r="E16" i="4" s="1"/>
  <c r="D17" i="4" a="1"/>
  <c r="D17" i="4" s="1"/>
  <c r="G17" i="4"/>
  <c r="H17" i="4" s="1"/>
  <c r="G18" i="4"/>
  <c r="H18" i="4" s="1"/>
  <c r="F19" i="4"/>
  <c r="F20" i="4"/>
  <c r="E12" i="4" a="1"/>
  <c r="E12" i="4" s="1"/>
  <c r="C14" i="4"/>
  <c r="C18" i="4"/>
  <c r="D13" i="4" a="1"/>
  <c r="D13" i="4" s="1"/>
  <c r="G13" i="4"/>
  <c r="H13" i="4" s="1"/>
  <c r="D19" i="4" a="1"/>
  <c r="D19" i="4" s="1"/>
  <c r="F12" i="4" l="1"/>
  <c r="O19" i="4"/>
  <c r="O27" i="4"/>
  <c r="L11" i="4"/>
  <c r="F11" i="4"/>
  <c r="O14" i="4"/>
  <c r="O29" i="4"/>
  <c r="O30" i="4"/>
  <c r="O32" i="4"/>
  <c r="O28" i="4"/>
  <c r="O26" i="4"/>
  <c r="O33" i="4"/>
  <c r="O31" i="4"/>
  <c r="S16" i="1" a="1"/>
  <c r="S16" i="1" s="1"/>
  <c r="E11" i="3" s="1"/>
  <c r="O16" i="4"/>
  <c r="U14" i="1" a="1"/>
  <c r="U14" i="1" s="1"/>
  <c r="G9" i="3" s="1"/>
  <c r="X14" i="1" a="1"/>
  <c r="X14" i="1" s="1"/>
  <c r="H9" i="3" s="1"/>
  <c r="J9" i="3" s="1"/>
  <c r="W20" i="1" a="1"/>
  <c r="W20" i="1" s="1"/>
  <c r="T14" i="1" a="1"/>
  <c r="T14" i="1" s="1"/>
  <c r="F9" i="3" s="1"/>
  <c r="S21" i="1" a="1"/>
  <c r="S21" i="1" s="1"/>
  <c r="V15" i="1" a="1"/>
  <c r="V15" i="1" s="1"/>
  <c r="O15" i="4"/>
  <c r="O18" i="4"/>
  <c r="S27" i="1" a="1"/>
  <c r="S27" i="1" s="1"/>
  <c r="X20" i="1" a="1"/>
  <c r="X20" i="1" s="1"/>
  <c r="W24" i="1" a="1"/>
  <c r="W24" i="1" s="1"/>
  <c r="Y16" i="1" a="1"/>
  <c r="Y16" i="1" s="1"/>
  <c r="I11" i="3" s="1"/>
  <c r="W22" i="1" a="1"/>
  <c r="W22" i="1" s="1"/>
  <c r="S25" i="1" a="1"/>
  <c r="S25" i="1" s="1"/>
  <c r="Y17" i="1" a="1"/>
  <c r="Y17" i="1" s="1"/>
  <c r="I12" i="3" s="1"/>
  <c r="V17" i="1" a="1"/>
  <c r="V17" i="1" s="1"/>
  <c r="S23" i="1" a="1"/>
  <c r="S23" i="1" s="1"/>
  <c r="W18" i="1" a="1"/>
  <c r="W18" i="1" s="1"/>
  <c r="T15" i="1" a="1"/>
  <c r="T15" i="1" s="1"/>
  <c r="F10" i="3" s="1"/>
  <c r="W25" i="1" a="1"/>
  <c r="W25" i="1" s="1"/>
  <c r="V22" i="1" a="1"/>
  <c r="V22" i="1" s="1"/>
  <c r="S18" i="1" a="1"/>
  <c r="S18" i="1" s="1"/>
  <c r="E13" i="3" s="1"/>
  <c r="X26" i="1" a="1"/>
  <c r="X26" i="1" s="1"/>
  <c r="S19" i="1" a="1"/>
  <c r="S19" i="1" s="1"/>
  <c r="E14" i="3" s="1"/>
  <c r="X15" i="1" a="1"/>
  <c r="X15" i="1" s="1"/>
  <c r="H10" i="3" s="1"/>
  <c r="J10" i="3" s="1"/>
  <c r="S26" i="1" a="1"/>
  <c r="S26" i="1" s="1"/>
  <c r="V23" i="1" a="1"/>
  <c r="V23" i="1" s="1"/>
  <c r="Y19" i="1" a="1"/>
  <c r="Y19" i="1" s="1"/>
  <c r="I14" i="3" s="1"/>
  <c r="Y24" i="1" a="1"/>
  <c r="Y24" i="1" s="1"/>
  <c r="W16" i="1" a="1"/>
  <c r="W16" i="1" s="1"/>
  <c r="Y20" i="1" a="1"/>
  <c r="Y20" i="1" s="1"/>
  <c r="Y26" i="1" a="1"/>
  <c r="Y26" i="1" s="1"/>
  <c r="X17" i="1" a="1"/>
  <c r="X17" i="1" s="1"/>
  <c r="H12" i="3" s="1"/>
  <c r="J12" i="3" s="1"/>
  <c r="Y22" i="1" a="1"/>
  <c r="Y22" i="1" s="1"/>
  <c r="Y27" i="1" a="1"/>
  <c r="Y27" i="1" s="1"/>
  <c r="T20" i="1" a="1"/>
  <c r="T20" i="1" s="1"/>
  <c r="X25" i="1" a="1"/>
  <c r="X25" i="1" s="1"/>
  <c r="T17" i="1" a="1"/>
  <c r="T17" i="1" s="1"/>
  <c r="F12" i="3" s="1"/>
  <c r="X22" i="1" a="1"/>
  <c r="X22" i="1" s="1"/>
  <c r="X27" i="1" a="1"/>
  <c r="X27" i="1" s="1"/>
  <c r="X18" i="1" a="1"/>
  <c r="X18" i="1" s="1"/>
  <c r="H13" i="3" s="1"/>
  <c r="J13" i="3" s="1"/>
  <c r="X23" i="1" a="1"/>
  <c r="X23" i="1" s="1"/>
  <c r="W14" i="1" a="1"/>
  <c r="W14" i="1" s="1"/>
  <c r="T21" i="1" a="1"/>
  <c r="T21" i="1" s="1"/>
  <c r="T26" i="1" a="1"/>
  <c r="T26" i="1" s="1"/>
  <c r="V16" i="1" a="1"/>
  <c r="V16" i="1" s="1"/>
  <c r="V18" i="1" a="1"/>
  <c r="V18" i="1" s="1"/>
  <c r="X21" i="1" a="1"/>
  <c r="X21" i="1" s="1"/>
  <c r="S24" i="1" a="1"/>
  <c r="S24" i="1" s="1"/>
  <c r="T27" i="1" a="1"/>
  <c r="T27" i="1" s="1"/>
  <c r="S15" i="1" a="1"/>
  <c r="S15" i="1" s="1"/>
  <c r="E10" i="3" s="1"/>
  <c r="W17" i="1" a="1"/>
  <c r="W17" i="1" s="1"/>
  <c r="S20" i="1" a="1"/>
  <c r="S20" i="1" s="1"/>
  <c r="T23" i="1" a="1"/>
  <c r="T23" i="1" s="1"/>
  <c r="V25" i="1" a="1"/>
  <c r="V25" i="1" s="1"/>
  <c r="V14" i="1" a="1"/>
  <c r="V14" i="1" s="1"/>
  <c r="T16" i="1" a="1"/>
  <c r="T16" i="1" s="1"/>
  <c r="F11" i="3" s="1"/>
  <c r="T19" i="1" a="1"/>
  <c r="T19" i="1" s="1"/>
  <c r="F14" i="3" s="1"/>
  <c r="V21" i="1" a="1"/>
  <c r="V21" i="1" s="1"/>
  <c r="T24" i="1" a="1"/>
  <c r="T24" i="1" s="1"/>
  <c r="V26" i="1" a="1"/>
  <c r="V26" i="1" s="1"/>
  <c r="S14" i="1" a="1"/>
  <c r="S14" i="1" s="1"/>
  <c r="E9" i="3" s="1"/>
  <c r="Y18" i="1" a="1"/>
  <c r="Y18" i="1" s="1"/>
  <c r="I13" i="3" s="1"/>
  <c r="W21" i="1" a="1"/>
  <c r="W21" i="1" s="1"/>
  <c r="Y23" i="1" a="1"/>
  <c r="Y23" i="1" s="1"/>
  <c r="W26" i="1" a="1"/>
  <c r="W26" i="1" s="1"/>
  <c r="S17" i="1" a="1"/>
  <c r="S17" i="1" s="1"/>
  <c r="E12" i="3" s="1"/>
  <c r="V19" i="1" a="1"/>
  <c r="V19" i="1" s="1"/>
  <c r="T22" i="1" a="1"/>
  <c r="T22" i="1" s="1"/>
  <c r="V24" i="1" a="1"/>
  <c r="V24" i="1" s="1"/>
  <c r="W27" i="1" a="1"/>
  <c r="W27" i="1" s="1"/>
  <c r="W15" i="1" a="1"/>
  <c r="W15" i="1" s="1"/>
  <c r="T18" i="1" a="1"/>
  <c r="T18" i="1" s="1"/>
  <c r="F13" i="3" s="1"/>
  <c r="V20" i="1" a="1"/>
  <c r="V20" i="1" s="1"/>
  <c r="W23" i="1" a="1"/>
  <c r="W23" i="1" s="1"/>
  <c r="Y25" i="1" a="1"/>
  <c r="Y25" i="1" s="1"/>
  <c r="Y14" i="1" a="1"/>
  <c r="Y14" i="1" s="1"/>
  <c r="I9" i="3" s="1"/>
  <c r="X16" i="1" a="1"/>
  <c r="X16" i="1" s="1"/>
  <c r="H11" i="3" s="1"/>
  <c r="J11" i="3" s="1"/>
  <c r="W19" i="1" a="1"/>
  <c r="W19" i="1" s="1"/>
  <c r="Y21" i="1" a="1"/>
  <c r="Y21" i="1" s="1"/>
  <c r="T25" i="1" a="1"/>
  <c r="T25" i="1" s="1"/>
  <c r="V27" i="1" a="1"/>
  <c r="V27" i="1" s="1"/>
  <c r="Y15" i="1" a="1"/>
  <c r="Y15" i="1" s="1"/>
  <c r="I10" i="3" s="1"/>
  <c r="X19" i="1" a="1"/>
  <c r="X19" i="1" s="1"/>
  <c r="H14" i="3" s="1"/>
  <c r="J14" i="3" s="1"/>
  <c r="S22" i="1" a="1"/>
  <c r="S22" i="1" s="1"/>
  <c r="X24" i="1" a="1"/>
  <c r="X24" i="1" s="1"/>
  <c r="U27" i="1" a="1"/>
  <c r="U27" i="1" s="1"/>
  <c r="O17" i="4"/>
  <c r="U23" i="1" a="1"/>
  <c r="U23" i="1" s="1"/>
  <c r="U25" i="1" a="1"/>
  <c r="U25" i="1" s="1"/>
  <c r="U19" i="1" a="1"/>
  <c r="U19" i="1" s="1"/>
  <c r="G14" i="3" s="1"/>
  <c r="U21" i="1" a="1"/>
  <c r="U21" i="1" s="1"/>
  <c r="U26" i="1" a="1"/>
  <c r="U26" i="1" s="1"/>
  <c r="U15" i="1" a="1"/>
  <c r="U15" i="1" s="1"/>
  <c r="G10" i="3" s="1"/>
  <c r="U22" i="1" a="1"/>
  <c r="U22" i="1" s="1"/>
  <c r="U24" i="1" a="1"/>
  <c r="U24" i="1" s="1"/>
  <c r="U18" i="1" a="1"/>
  <c r="U18" i="1" s="1"/>
  <c r="G13" i="3" s="1"/>
  <c r="U17" i="1" a="1"/>
  <c r="U17" i="1" s="1"/>
  <c r="G12" i="3" s="1"/>
  <c r="U20" i="1" a="1"/>
  <c r="U20" i="1" s="1"/>
  <c r="U16" i="1" a="1"/>
  <c r="U16" i="1" s="1"/>
  <c r="G11" i="3" s="1"/>
  <c r="O1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<sst xmlns="http://schemas.openxmlformats.org/spreadsheetml/2006/main" count="129" uniqueCount="45">
  <si>
    <t>PROJECT</t>
  </si>
  <si>
    <t>TASK</t>
  </si>
  <si>
    <t>ASIGNEE</t>
  </si>
  <si>
    <t>START DATE</t>
  </si>
  <si>
    <t>DAYS REQUIRED</t>
  </si>
  <si>
    <t>END DATE</t>
  </si>
  <si>
    <t>PROGRESS</t>
  </si>
  <si>
    <t>Projects</t>
  </si>
  <si>
    <t>Resources</t>
  </si>
  <si>
    <t>TODAY IS:</t>
  </si>
  <si>
    <t>*) Change to formula =TODAY()</t>
  </si>
  <si>
    <t>Total projects:</t>
  </si>
  <si>
    <t>Tasks</t>
  </si>
  <si>
    <t>Start</t>
  </si>
  <si>
    <t>End</t>
  </si>
  <si>
    <t>Remaining</t>
  </si>
  <si>
    <t>All Projects</t>
  </si>
  <si>
    <t>Days Required</t>
  </si>
  <si>
    <t>Progress</t>
  </si>
  <si>
    <t>UNFINISHED TASKS</t>
  </si>
  <si>
    <t>OVERDUE TASKS</t>
  </si>
  <si>
    <t>OVERDUE</t>
  </si>
  <si>
    <t>Today:</t>
  </si>
  <si>
    <t>Total taskss:</t>
  </si>
  <si>
    <t>All Resources</t>
  </si>
  <si>
    <t>Total days scope:</t>
  </si>
  <si>
    <t>Days Engaged</t>
  </si>
  <si>
    <t>Max man-days</t>
  </si>
  <si>
    <t>Not started</t>
  </si>
  <si>
    <t>In Progress</t>
  </si>
  <si>
    <t>Completed</t>
  </si>
  <si>
    <t>MCCI</t>
  </si>
  <si>
    <t>MCAM</t>
  </si>
  <si>
    <t>MCGC</t>
  </si>
  <si>
    <t>MTN B</t>
  </si>
  <si>
    <t>CELTIISB</t>
  </si>
  <si>
    <t>MCGB</t>
  </si>
  <si>
    <t>OWNER</t>
  </si>
  <si>
    <t>Elaboration FAQ</t>
  </si>
  <si>
    <t>Contrôle de la base</t>
  </si>
  <si>
    <t>Envoi de la base</t>
  </si>
  <si>
    <t>Collete et compilation de données</t>
  </si>
  <si>
    <t>GRAPHE</t>
  </si>
  <si>
    <t>BASE DE CONNAISSANCE IA OP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</si>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</sst>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Days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</font>
    <font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b/>
      <sz val="12"/>
      <color rgb="FFE2B75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6" fillId="2" borderId="7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4" fontId="0" fillId="4" borderId="7" xfId="0" applyNumberFormat="1" applyFill="1" applyBorder="1" applyAlignment="1">
      <alignment horizontal="center" vertical="center"/>
    </xf>
    <xf numFmtId="9" fontId="0" fillId="4" borderId="7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9" fontId="0" fillId="0" borderId="7" xfId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4" fontId="8" fillId="5" borderId="0" xfId="0" applyNumberFormat="1" applyFont="1" applyFill="1" applyAlignment="1">
      <alignment horizontal="center" vertical="center"/>
    </xf>
    <xf numFmtId="9" fontId="8" fillId="5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11" fillId="6" borderId="0" xfId="0" applyFont="1" applyFill="1" applyAlignment="1">
      <alignment horizontal="right" vertical="center"/>
    </xf>
    <xf numFmtId="14" fontId="10" fillId="6" borderId="0" xfId="0" applyNumberFormat="1" applyFont="1" applyFill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9" fontId="0" fillId="9" borderId="7" xfId="1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9" fontId="12" fillId="0" borderId="6" xfId="0" applyNumberFormat="1" applyFont="1" applyBorder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</cellXfs>
  <cellStyles count="2">
    <cellStyle name="Normal" xfId="0" builtinId="0"/>
    <cellStyle name="Pourcentage" xfId="1" builtinId="5"/>
  </cellStyles>
  <dxfs count="26">
    <dxf>
      <font>
        <color rgb="FFFF5050"/>
      </font>
    </dxf>
    <dxf>
      <font>
        <color rgb="FFE2B758"/>
      </font>
    </dxf>
    <dxf>
      <font>
        <color theme="3" tint="0.89996032593768116"/>
      </font>
    </dxf>
    <dxf>
      <font>
        <color theme="3" tint="0.89996032593768116"/>
      </font>
    </dxf>
    <dxf>
      <font>
        <color theme="3" tint="0.89996032593768116"/>
      </font>
    </dxf>
    <dxf>
      <font>
        <color theme="3" tint="0.89996032593768116"/>
      </font>
    </dxf>
    <dxf>
      <font>
        <color theme="3" tint="0.89996032593768116"/>
      </font>
    </dxf>
    <dxf>
      <font>
        <color theme="3" tint="0.899960325937681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  <color rgb="FFE2B7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2B758"/>
                </a:solidFill>
                <a:latin typeface="+mn-lt"/>
                <a:ea typeface="+mn-ea"/>
                <a:cs typeface="+mn-cs"/>
              </a:defRPr>
            </a:pPr>
            <a:r>
              <a:rPr lang="sr-Latn-RS" b="1">
                <a:solidFill>
                  <a:srgbClr val="E2B758"/>
                </a:solidFill>
              </a:rPr>
              <a:t>PROJECTS COMPLETION</a:t>
            </a:r>
            <a:endParaRPr lang="en-GB" b="1">
              <a:solidFill>
                <a:srgbClr val="E2B758"/>
              </a:solidFill>
            </a:endParaRPr>
          </a:p>
        </c:rich>
      </c:tx>
      <c:layout>
        <c:manualLayout>
          <c:xMode val="edge"/>
          <c:yMode val="edge"/>
          <c:x val="4.0861777243675984E-2"/>
          <c:y val="2.77113237639554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380834514136782"/>
          <c:y val="0.15177683381682594"/>
          <c:w val="0.66923064264341492"/>
          <c:h val="0.77736111111111161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E2B7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60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Calculations!$B$12:$B$19</c:f>
              <c:strCache>
                <c:ptCount val="8"/>
                <c:pt idx="0">
                  <c:v>BASE DE CONNAISSANCE IA OP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strCache>
            </c:strRef>
          </c:cat>
          <c:val>
            <c:numRef>
              <c:f>Calculations!$G$12</c:f>
              <c:numCache>
                <c:formatCode>0%</c:formatCode>
                <c:ptCount val="1"/>
                <c:pt idx="0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6-4BBD-851F-80EA729660B5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Calculations!$B$12:$B$19</c:f>
              <c:strCache>
                <c:ptCount val="8"/>
                <c:pt idx="0">
                  <c:v>BASE DE CONNAISSANCE IA OP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strCache>
            </c:strRef>
          </c:cat>
          <c:val>
            <c:numRef>
              <c:f>Calculations!$H$12</c:f>
              <c:numCache>
                <c:formatCode>0%</c:formatCode>
                <c:ptCount val="1"/>
                <c:pt idx="0">
                  <c:v>0.16666666666666663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6-4BBD-851F-80EA729660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37"/>
        <c:overlap val="100"/>
        <c:axId val="42457344"/>
        <c:axId val="43524096"/>
      </c:barChart>
      <c:catAx>
        <c:axId val="4245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524096"/>
        <c:crosses val="autoZero"/>
        <c:auto val="1"/>
        <c:lblAlgn val="ctr"/>
        <c:lblOffset val="100"/>
        <c:noMultiLvlLbl val="0"/>
      </c:catAx>
      <c:valAx>
        <c:axId val="4352409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one"/>
        <c:crossAx val="4245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2B758"/>
                </a:solidFill>
                <a:latin typeface="+mn-lt"/>
                <a:ea typeface="+mn-ea"/>
                <a:cs typeface="+mn-cs"/>
              </a:defRPr>
            </a:pPr>
            <a:r>
              <a:rPr lang="sr-Latn-RS" sz="1400" b="1">
                <a:solidFill>
                  <a:srgbClr val="E2B758"/>
                </a:solidFill>
              </a:rPr>
              <a:t>RESOURCE</a:t>
            </a:r>
            <a:r>
              <a:rPr lang="sr-Latn-RS" sz="1400" b="1" baseline="0">
                <a:solidFill>
                  <a:srgbClr val="E2B758"/>
                </a:solidFill>
              </a:rPr>
              <a:t> USAGE</a:t>
            </a:r>
            <a:endParaRPr lang="en-GB" sz="1400" b="1">
              <a:solidFill>
                <a:srgbClr val="E2B758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2B758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rgbClr val="E2B75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Calculations!$J$12:$J$19</c:f>
              <c:strCache>
                <c:ptCount val="8"/>
                <c:pt idx="0">
                  <c:v>MCCI</c:v>
                </c:pt>
                <c:pt idx="1">
                  <c:v>MCAM</c:v>
                </c:pt>
                <c:pt idx="2">
                  <c:v>MCGB</c:v>
                </c:pt>
                <c:pt idx="3">
                  <c:v>MCGC</c:v>
                </c:pt>
                <c:pt idx="4">
                  <c:v>MTN B</c:v>
                </c:pt>
                <c:pt idx="5">
                  <c:v>CELTIISB</c:v>
                </c:pt>
                <c:pt idx="6">
                  <c:v>OWNER</c:v>
                </c:pt>
                <c:pt idx="7">
                  <c:v>DEV</c:v>
                </c:pt>
              </c:strCache>
            </c:strRef>
          </c:cat>
          <c:val>
            <c:numRef>
              <c:f>Calculations!$O$12:$O$19</c:f>
              <c:numCache>
                <c:formatCode>General</c:formatCode>
                <c:ptCount val="8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2-4F22-BD35-5083A1BEDC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4"/>
        <c:axId val="44282624"/>
        <c:axId val="44284160"/>
      </c:barChart>
      <c:barChart>
        <c:barDir val="bar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Calculations!$J$12:$J$19</c:f>
              <c:strCache>
                <c:ptCount val="8"/>
                <c:pt idx="0">
                  <c:v>MCCI</c:v>
                </c:pt>
                <c:pt idx="1">
                  <c:v>MCAM</c:v>
                </c:pt>
                <c:pt idx="2">
                  <c:v>MCGB</c:v>
                </c:pt>
                <c:pt idx="3">
                  <c:v>MCGC</c:v>
                </c:pt>
                <c:pt idx="4">
                  <c:v>MTN B</c:v>
                </c:pt>
                <c:pt idx="5">
                  <c:v>CELTIISB</c:v>
                </c:pt>
                <c:pt idx="6">
                  <c:v>OWNER</c:v>
                </c:pt>
                <c:pt idx="7">
                  <c:v>DEV</c:v>
                </c:pt>
              </c:strCache>
            </c:strRef>
          </c:cat>
          <c:val>
            <c:numRef>
              <c:f>Calculations!$L$12:$L$19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2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2-4F22-BD35-5083A1BEDC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4"/>
        <c:axId val="44299776"/>
        <c:axId val="44298240"/>
      </c:barChart>
      <c:catAx>
        <c:axId val="44282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284160"/>
        <c:crosses val="autoZero"/>
        <c:auto val="1"/>
        <c:lblAlgn val="ctr"/>
        <c:lblOffset val="100"/>
        <c:noMultiLvlLbl val="0"/>
      </c:catAx>
      <c:valAx>
        <c:axId val="44284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one"/>
        <c:crossAx val="44282624"/>
        <c:crosses val="autoZero"/>
        <c:crossBetween val="between"/>
      </c:valAx>
      <c:valAx>
        <c:axId val="4429824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crossAx val="44299776"/>
        <c:crosses val="max"/>
        <c:crossBetween val="between"/>
      </c:valAx>
      <c:catAx>
        <c:axId val="442997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4298240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rgbClr val="E2B758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sr-Latn-RS" sz="1400" b="1" i="0" u="none" strike="noStrike" baseline="0" dirty="0">
                <a:solidFill>
                  <a:srgbClr val="E2B758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TASKS STATUS</a:t>
            </a:r>
            <a:endParaRPr lang="en-GB" sz="1400" b="1" i="0" u="none" strike="noStrike" baseline="0" dirty="0">
              <a:solidFill>
                <a:srgbClr val="E2B758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590231349496725"/>
          <c:y val="0.1423939733806302"/>
          <c:w val="0.5681923455357365"/>
          <c:h val="0.78672645840164568"/>
        </c:manualLayout>
      </c:layout>
      <c:pieChart>
        <c:varyColors val="1"/>
        <c:ser>
          <c:idx val="0"/>
          <c:order val="0"/>
          <c:spPr>
            <a:solidFill>
              <a:srgbClr val="E2B758"/>
            </a:solidFill>
            <a:ln>
              <a:noFill/>
            </a:ln>
          </c:spPr>
          <c:explosion val="4"/>
          <c:dPt>
            <c:idx val="0"/>
            <c:bubble3D val="0"/>
            <c:spPr>
              <a:solidFill>
                <a:srgbClr val="FF5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B1-4063-9D26-B6D3F3E4A76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B1-4063-9D26-B6D3F3E4A762}"/>
              </c:ext>
            </c:extLst>
          </c:dPt>
          <c:dPt>
            <c:idx val="2"/>
            <c:bubble3D val="0"/>
            <c:spPr>
              <a:solidFill>
                <a:srgbClr val="E2B7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B1-4063-9D26-B6D3F3E4A762}"/>
              </c:ext>
            </c:extLst>
          </c:dPt>
          <c:dLbls>
            <c:dLbl>
              <c:idx val="0"/>
              <c:layout>
                <c:manualLayout>
                  <c:x val="-4.5275148238546989E-2"/>
                  <c:y val="0.2904846552161073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B1-4063-9D26-B6D3F3E4A762}"/>
                </c:ext>
              </c:extLst>
            </c:dLbl>
            <c:dLbl>
              <c:idx val="1"/>
              <c:layout>
                <c:manualLayout>
                  <c:x val="-0.20250203934034727"/>
                  <c:y val="-0.1518499594842930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B1-4063-9D26-B6D3F3E4A762}"/>
                </c:ext>
              </c:extLst>
            </c:dLbl>
            <c:dLbl>
              <c:idx val="2"/>
              <c:layout>
                <c:manualLayout>
                  <c:x val="0.23195566432037401"/>
                  <c:y val="2.289444577651625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B1-4063-9D26-B6D3F3E4A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Calculations!$J$5:$J$7</c:f>
              <c:strCache>
                <c:ptCount val="3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</c:strCache>
            </c:strRef>
          </c:cat>
          <c:val>
            <c:numRef>
              <c:f>Calculations!$K$5:$K$7</c:f>
              <c:numCache>
                <c:formatCode>General</c:formatCode>
                <c:ptCount val="3"/>
                <c:pt idx="0">
                  <c:v>0</c:v>
                </c:pt>
                <c:pt idx="1">
                  <c:v>7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B1-4063-9D26-B6D3F3E4A7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 dir="row"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rgbClr val="E2B758"/>
                </a:solidFill>
              </a:defRPr>
            </a:pPr>
            <a:r>
              <a:rPr lang="sr-Latn-RS" sz="1400" b="1" i="0" u="none" strike="noStrike" baseline="0">
                <a:solidFill>
                  <a:srgbClr val="E2B758"/>
                </a:solidFill>
                <a:latin typeface="Calibri" panose="020F0502020204030204"/>
              </a:rPr>
              <a:t>AVERAGE TASK PROGRESS</a:t>
            </a:r>
            <a:endParaRPr lang="en-US" sz="1400" b="1" i="0" u="none" strike="noStrike" baseline="0">
              <a:solidFill>
                <a:srgbClr val="E2B758"/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F538C6D4-275B-4B9F-A630-483373566A26}">
          <cx:dataPt idx="0">
            <cx:spPr>
              <a:solidFill>
                <a:srgbClr val="E2B758"/>
              </a:solidFill>
              <a:ln>
                <a:noFill/>
              </a:ln>
            </cx:spPr>
          </cx:dataPt>
          <cx:dataPt idx="1">
            <cx:spPr>
              <a:solidFill>
                <a:sysClr val="window" lastClr="FFFFFF"/>
              </a:solidFill>
              <a:ln>
                <a:noFill/>
              </a:ln>
            </cx:spPr>
          </cx:dataPt>
          <cx:dataId val="0"/>
        </cx:series>
      </cx:plotAreaRegion>
    </cx:plotArea>
  </cx:chart>
  <cx:spPr>
    <a:solidFill>
      <a:schemeClr val="tx1">
        <a:lumMod val="75000"/>
        <a:lumOff val="25000"/>
      </a:schemeClr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4</xdr:row>
      <xdr:rowOff>17930</xdr:rowOff>
    </xdr:from>
    <xdr:to>
      <xdr:col>2</xdr:col>
      <xdr:colOff>179294</xdr:colOff>
      <xdr:row>47</xdr:row>
      <xdr:rowOff>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41856-F647-4E1C-9282-F560A1080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244295</xdr:colOff>
      <xdr:row>1</xdr:row>
      <xdr:rowOff>15240</xdr:rowOff>
    </xdr:from>
    <xdr:to>
      <xdr:col>2</xdr:col>
      <xdr:colOff>160475</xdr:colOff>
      <xdr:row>1</xdr:row>
      <xdr:rowOff>541020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96FCC09-F9A5-4A11-023A-A38F397EA3A4}"/>
            </a:ext>
          </a:extLst>
        </xdr:cNvPr>
        <xdr:cNvGrpSpPr/>
      </xdr:nvGrpSpPr>
      <xdr:grpSpPr>
        <a:xfrm>
          <a:off x="541951" y="170021"/>
          <a:ext cx="3178493" cy="525780"/>
          <a:chOff x="335280" y="198120"/>
          <a:chExt cx="3268980" cy="525780"/>
        </a:xfrm>
      </xdr:grpSpPr>
      <xdr:sp macro="" textlink="Calculations!C3">
        <xdr:nvSpPr>
          <xdr:cNvPr id="3" name="Rectangle 2">
            <a:extLst>
              <a:ext uri="{FF2B5EF4-FFF2-40B4-BE49-F238E27FC236}">
                <a16:creationId xmlns:a16="http://schemas.microsoft.com/office/drawing/2014/main" id="{956B70A2-AA33-2C52-C3A4-5F89E8A71911}"/>
              </a:ext>
            </a:extLst>
          </xdr:cNvPr>
          <xdr:cNvSpPr/>
        </xdr:nvSpPr>
        <xdr:spPr>
          <a:xfrm>
            <a:off x="284988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8E1355C-8A7C-4765-9231-B57F13EB822B}" type="TxLink">
              <a:rPr lang="en-US" sz="24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1</a:t>
            </a:fld>
            <a:endParaRPr lang="en-GB" sz="2400" b="1">
              <a:solidFill>
                <a:schemeClr val="bg1"/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FE36549-3F4D-5A0F-9782-95D1535913D6}"/>
              </a:ext>
            </a:extLst>
          </xdr:cNvPr>
          <xdr:cNvSpPr txBox="1"/>
        </xdr:nvSpPr>
        <xdr:spPr>
          <a:xfrm>
            <a:off x="335280" y="227004"/>
            <a:ext cx="2341923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sr-Latn-RS" sz="2400" b="1">
                <a:solidFill>
                  <a:schemeClr val="bg1"/>
                </a:solidFill>
              </a:rPr>
              <a:t>TOTAL PROJECTS</a:t>
            </a:r>
            <a:endParaRPr lang="en-GB" sz="2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15240</xdr:colOff>
      <xdr:row>1</xdr:row>
      <xdr:rowOff>15240</xdr:rowOff>
    </xdr:from>
    <xdr:to>
      <xdr:col>6</xdr:col>
      <xdr:colOff>274320</xdr:colOff>
      <xdr:row>1</xdr:row>
      <xdr:rowOff>541020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39D01FF-229D-4DCE-824C-6A07898B79CC}"/>
            </a:ext>
          </a:extLst>
        </xdr:cNvPr>
        <xdr:cNvGrpSpPr/>
      </xdr:nvGrpSpPr>
      <xdr:grpSpPr>
        <a:xfrm>
          <a:off x="3991928" y="170021"/>
          <a:ext cx="2628423" cy="525780"/>
          <a:chOff x="335280" y="198120"/>
          <a:chExt cx="2689860" cy="525780"/>
        </a:xfrm>
      </xdr:grpSpPr>
      <xdr:sp macro="" textlink="Calculations!$C$11">
        <xdr:nvSpPr>
          <xdr:cNvPr id="7" name="Rectangle 6">
            <a:extLst>
              <a:ext uri="{FF2B5EF4-FFF2-40B4-BE49-F238E27FC236}">
                <a16:creationId xmlns:a16="http://schemas.microsoft.com/office/drawing/2014/main" id="{C3650C57-7DA8-2D37-7EBC-964601B7E5B1}"/>
              </a:ext>
            </a:extLst>
          </xdr:cNvPr>
          <xdr:cNvSpPr/>
        </xdr:nvSpPr>
        <xdr:spPr>
          <a:xfrm>
            <a:off x="227076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48DA6C3-EB48-496A-8B7A-410BFEE87DB4}" type="TxLink">
              <a:rPr lang="en-U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pPr marL="0" indent="0" algn="ctr"/>
              <a:t>14</a:t>
            </a:fld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7EDFCEA-3965-225A-04D5-A132D7927EFD}"/>
              </a:ext>
            </a:extLst>
          </xdr:cNvPr>
          <xdr:cNvSpPr txBox="1"/>
        </xdr:nvSpPr>
        <xdr:spPr>
          <a:xfrm>
            <a:off x="335280" y="227004"/>
            <a:ext cx="1882118" cy="468013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sr-Latn-R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t>TOTAL TASKS</a:t>
            </a:r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6</xdr:col>
      <xdr:colOff>693420</xdr:colOff>
      <xdr:row>1</xdr:row>
      <xdr:rowOff>15240</xdr:rowOff>
    </xdr:from>
    <xdr:to>
      <xdr:col>9</xdr:col>
      <xdr:colOff>982980</xdr:colOff>
      <xdr:row>1</xdr:row>
      <xdr:rowOff>541020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26C5EC45-1352-4D40-9865-C1E32BDB3BAE}"/>
            </a:ext>
          </a:extLst>
        </xdr:cNvPr>
        <xdr:cNvGrpSpPr/>
      </xdr:nvGrpSpPr>
      <xdr:grpSpPr>
        <a:xfrm>
          <a:off x="7039451" y="170021"/>
          <a:ext cx="2613660" cy="525780"/>
          <a:chOff x="335280" y="198120"/>
          <a:chExt cx="2689860" cy="525780"/>
        </a:xfrm>
      </xdr:grpSpPr>
      <xdr:sp macro="" textlink="Calculations!$C$11">
        <xdr:nvSpPr>
          <xdr:cNvPr id="10" name="Rectangle 9">
            <a:extLst>
              <a:ext uri="{FF2B5EF4-FFF2-40B4-BE49-F238E27FC236}">
                <a16:creationId xmlns:a16="http://schemas.microsoft.com/office/drawing/2014/main" id="{3489D893-471F-7430-9BCD-00F098CF1E9E}"/>
              </a:ext>
            </a:extLst>
          </xdr:cNvPr>
          <xdr:cNvSpPr/>
        </xdr:nvSpPr>
        <xdr:spPr>
          <a:xfrm>
            <a:off x="2270760" y="198120"/>
            <a:ext cx="754380" cy="52578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48DA6C3-EB48-496A-8B7A-410BFEE87DB4}" type="TxLink">
              <a:rPr lang="en-U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pPr marL="0" indent="0" algn="ctr"/>
              <a:t>14</a:t>
            </a:fld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300A082-6386-A0D8-9D2F-F1AF68307A7F}"/>
              </a:ext>
            </a:extLst>
          </xdr:cNvPr>
          <xdr:cNvSpPr txBox="1"/>
        </xdr:nvSpPr>
        <xdr:spPr>
          <a:xfrm>
            <a:off x="335280" y="227004"/>
            <a:ext cx="1882118" cy="468013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sr-Latn-RS" sz="2400" b="1" i="0" u="none" strike="noStrike">
                <a:solidFill>
                  <a:srgbClr val="E2B758"/>
                </a:solidFill>
                <a:latin typeface="Calibri"/>
                <a:ea typeface="+mn-ea"/>
                <a:cs typeface="Calibri"/>
              </a:rPr>
              <a:t>COMPLETED</a:t>
            </a:r>
            <a:endParaRPr lang="en-GB" sz="2400" b="1" i="0" u="none" strike="noStrike">
              <a:solidFill>
                <a:srgbClr val="E2B758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3</xdr:col>
      <xdr:colOff>218660</xdr:colOff>
      <xdr:row>16</xdr:row>
      <xdr:rowOff>152400</xdr:rowOff>
    </xdr:from>
    <xdr:to>
      <xdr:col>6</xdr:col>
      <xdr:colOff>543340</xdr:colOff>
      <xdr:row>30</xdr:row>
      <xdr:rowOff>145774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AEF2244-157C-E4D0-7DD3-5060F04EC492}"/>
            </a:ext>
          </a:extLst>
        </xdr:cNvPr>
        <xdr:cNvGrpSpPr/>
      </xdr:nvGrpSpPr>
      <xdr:grpSpPr>
        <a:xfrm>
          <a:off x="3971510" y="2690813"/>
          <a:ext cx="2917861" cy="2157930"/>
          <a:chOff x="4075043" y="2703443"/>
          <a:chExt cx="2975114" cy="2126974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12" name="Chart 11">
                <a:extLst>
                  <a:ext uri="{FF2B5EF4-FFF2-40B4-BE49-F238E27FC236}">
                    <a16:creationId xmlns:a16="http://schemas.microsoft.com/office/drawing/2014/main" id="{2E5C098B-2C59-4805-BE40-69C8FCE8661E}"/>
                  </a:ext>
                </a:extLst>
              </xdr:cNvPr>
              <xdr:cNvGraphicFramePr/>
            </xdr:nvGraphicFramePr>
            <xdr:xfrm>
              <a:off x="4075043" y="2703443"/>
              <a:ext cx="2975114" cy="2126974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075043" y="2703443"/>
                <a:ext cx="2975114" cy="212697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 graphique n’est pas disponible dans votre version d’Excel.
La modification de cette forme ou l’enregistrement de ce classeur dans un autre format de fichier endommagera le graphique de façon irréparable.</a:t>
                </a:r>
              </a:p>
            </xdr:txBody>
          </xdr:sp>
        </mc:Fallback>
      </mc:AlternateContent>
      <xdr:sp macro="" textlink="Calculations!$G$11">
        <xdr:nvSpPr>
          <xdr:cNvPr id="13" name="Rectangle 12">
            <a:extLst>
              <a:ext uri="{FF2B5EF4-FFF2-40B4-BE49-F238E27FC236}">
                <a16:creationId xmlns:a16="http://schemas.microsoft.com/office/drawing/2014/main" id="{5AB807A6-854E-4DAA-8A2E-EE0F79E07383}"/>
              </a:ext>
            </a:extLst>
          </xdr:cNvPr>
          <xdr:cNvSpPr/>
        </xdr:nvSpPr>
        <xdr:spPr>
          <a:xfrm>
            <a:off x="5183587" y="3635403"/>
            <a:ext cx="756037" cy="52578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fld id="{848EBE1D-D177-4B79-A13B-7AE69DABE587}" type="TxLink">
              <a:rPr lang="en-US" sz="2400" b="1" i="0" u="none" strike="noStrike">
                <a:solidFill>
                  <a:srgbClr val="E2B758"/>
                </a:solidFill>
                <a:latin typeface="Calibri"/>
                <a:cs typeface="Calibri"/>
              </a:rPr>
              <a:pPr algn="ctr"/>
              <a:t>83%</a:t>
            </a:fld>
            <a:endParaRPr lang="en-GB" sz="4800" b="1">
              <a:solidFill>
                <a:srgbClr val="E2B758"/>
              </a:solidFill>
            </a:endParaRPr>
          </a:p>
        </xdr:txBody>
      </xdr:sp>
    </xdr:grpSp>
    <xdr:clientData/>
  </xdr:twoCellAnchor>
  <xdr:twoCellAnchor>
    <xdr:from>
      <xdr:col>6</xdr:col>
      <xdr:colOff>715618</xdr:colOff>
      <xdr:row>16</xdr:row>
      <xdr:rowOff>152400</xdr:rowOff>
    </xdr:from>
    <xdr:to>
      <xdr:col>10</xdr:col>
      <xdr:colOff>26504</xdr:colOff>
      <xdr:row>47</xdr:row>
      <xdr:rowOff>19878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B0A6C57-DDF7-4D60-9825-F98155C5B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6627</xdr:colOff>
      <xdr:row>32</xdr:row>
      <xdr:rowOff>106017</xdr:rowOff>
    </xdr:from>
    <xdr:to>
      <xdr:col>6</xdr:col>
      <xdr:colOff>549967</xdr:colOff>
      <xdr:row>47</xdr:row>
      <xdr:rowOff>17930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30DFE7C-D7DE-4503-BCFF-36A1A2A4F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" displayName="Projects" ref="K1:K3" totalsRowShown="0" headerRowDxfId="25" dataDxfId="24">
  <autoFilter ref="K1:K3" xr:uid="{00000000-0009-0000-0100-000001000000}"/>
  <tableColumns count="1">
    <tableColumn id="1" xr3:uid="{00000000-0010-0000-0000-000001000000}" name="Projects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ources" displayName="Resources" ref="M1:M9" totalsRowShown="0" headerRowDxfId="22" dataDxfId="21">
  <autoFilter ref="M1:M9" xr:uid="{00000000-0009-0000-0100-000002000000}"/>
  <tableColumns count="1">
    <tableColumn id="1" xr3:uid="{00000000-0010-0000-0100-000001000000}" name="Resources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in" displayName="Main" ref="B1:H22" totalsRowShown="0" headerRowDxfId="19" dataDxfId="17" headerRowBorderDxfId="18" tableBorderDxfId="16" totalsRowBorderDxfId="15">
  <autoFilter ref="B1:H22" xr:uid="{00000000-0009-0000-0100-000003000000}"/>
  <tableColumns count="7">
    <tableColumn id="1" xr3:uid="{00000000-0010-0000-0200-000001000000}" name="PROJECT" dataDxfId="14"/>
    <tableColumn id="2" xr3:uid="{00000000-0010-0000-0200-000002000000}" name="TASK" dataDxfId="13"/>
    <tableColumn id="3" xr3:uid="{00000000-0010-0000-0200-000003000000}" name="ASIGNEE" dataDxfId="12"/>
    <tableColumn id="4" xr3:uid="{00000000-0010-0000-0200-000004000000}" name="START DATE" dataDxfId="11"/>
    <tableColumn id="5" xr3:uid="{00000000-0010-0000-0200-000005000000}" name="DAYS REQUIRED" dataDxfId="10"/>
    <tableColumn id="6" xr3:uid="{00000000-0010-0000-0200-000006000000}" name="END DATE" dataDxfId="9">
      <calculatedColumnFormula>E2+F2</calculatedColumnFormula>
    </tableColumn>
    <tableColumn id="7" xr3:uid="{00000000-0010-0000-0200-000007000000}" name="PROGRESS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52"/>
  <sheetViews>
    <sheetView tabSelected="1" zoomScale="87" zoomScaleNormal="87" workbookViewId="0">
      <selection activeCell="C28" sqref="C28"/>
    </sheetView>
  </sheetViews>
  <sheetFormatPr baseColWidth="10" defaultColWidth="8.85546875" defaultRowHeight="15" x14ac:dyDescent="0.25"/>
  <cols>
    <col min="1" max="1" width="8.85546875" style="1"/>
    <col min="2" max="2" width="33.85546875" style="1" customWidth="1"/>
    <col min="3" max="3" width="33.7109375" style="1" customWidth="1"/>
    <col min="4" max="4" width="19.140625" style="1" customWidth="1"/>
    <col min="5" max="5" width="21.140625" style="1" customWidth="1"/>
    <col min="6" max="6" width="17.5703125" style="1" customWidth="1"/>
    <col min="7" max="7" width="15.140625" style="1" customWidth="1"/>
    <col min="8" max="8" width="18.42578125" style="1" customWidth="1"/>
    <col min="9" max="10" width="8.85546875" style="34"/>
    <col min="11" max="11" width="27.7109375" style="1" customWidth="1"/>
    <col min="12" max="12" width="32.140625" style="1" bestFit="1" customWidth="1"/>
    <col min="13" max="13" width="15.140625" style="1" customWidth="1"/>
    <col min="14" max="14" width="17.5703125" style="1" customWidth="1"/>
    <col min="15" max="15" width="15.140625" style="1" bestFit="1" customWidth="1"/>
    <col min="16" max="16" width="14.5703125" style="1" customWidth="1"/>
    <col min="17" max="18" width="8.85546875" style="1"/>
    <col min="19" max="19" width="25.28515625" style="1" bestFit="1" customWidth="1"/>
    <col min="20" max="20" width="18.7109375" style="1" bestFit="1" customWidth="1"/>
    <col min="21" max="21" width="13.85546875" style="1" customWidth="1"/>
    <col min="22" max="22" width="14.5703125" style="1" customWidth="1"/>
    <col min="23" max="23" width="17.140625" style="1" customWidth="1"/>
    <col min="24" max="24" width="13.42578125" style="1" customWidth="1"/>
    <col min="25" max="25" width="12.42578125" style="1" customWidth="1"/>
    <col min="26" max="53" width="8.85546875" style="34"/>
    <col min="54" max="16384" width="8.85546875" style="1"/>
  </cols>
  <sheetData>
    <row r="1" spans="1:25" x14ac:dyDescent="0.2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3" t="s">
        <v>5</v>
      </c>
      <c r="H1" s="4" t="s">
        <v>6</v>
      </c>
      <c r="K1" s="1" t="s">
        <v>7</v>
      </c>
      <c r="L1" s="34"/>
      <c r="M1" s="1" t="s">
        <v>8</v>
      </c>
      <c r="N1" s="34"/>
      <c r="O1" s="10" t="s">
        <v>9</v>
      </c>
      <c r="S1" s="34"/>
      <c r="T1" s="34"/>
      <c r="U1" s="34"/>
      <c r="V1" s="34"/>
      <c r="W1" s="34"/>
      <c r="X1" s="34"/>
      <c r="Y1" s="34"/>
    </row>
    <row r="2" spans="1:25" x14ac:dyDescent="0.25">
      <c r="B2" s="5" t="s">
        <v>43</v>
      </c>
      <c r="C2" s="6" t="s">
        <v>38</v>
      </c>
      <c r="D2" s="1" t="s">
        <v>31</v>
      </c>
      <c r="E2" s="7">
        <v>45717</v>
      </c>
      <c r="F2" s="6">
        <v>13</v>
      </c>
      <c r="G2" s="7">
        <f>E2+F2</f>
        <v>45730</v>
      </c>
      <c r="H2" s="8">
        <v>1</v>
      </c>
      <c r="K2" s="1" t="s">
        <v>43</v>
      </c>
      <c r="L2" s="34"/>
      <c r="M2" s="1" t="s">
        <v>31</v>
      </c>
      <c r="N2" s="34"/>
      <c r="O2" s="11">
        <v>45728</v>
      </c>
      <c r="P2" s="9" t="s">
        <v>10</v>
      </c>
      <c r="S2" s="34"/>
      <c r="T2" s="34"/>
      <c r="U2" s="34"/>
      <c r="V2" s="34"/>
      <c r="W2" s="34"/>
      <c r="X2" s="34"/>
      <c r="Y2" s="34"/>
    </row>
    <row r="3" spans="1:25" x14ac:dyDescent="0.25">
      <c r="B3" s="5" t="s">
        <v>43</v>
      </c>
      <c r="C3" s="6" t="s">
        <v>38</v>
      </c>
      <c r="D3" s="1" t="s">
        <v>32</v>
      </c>
      <c r="E3" s="7">
        <v>45717</v>
      </c>
      <c r="F3" s="6">
        <v>13</v>
      </c>
      <c r="G3" s="7">
        <f t="shared" ref="G3:G15" si="0">E3+F3</f>
        <v>45730</v>
      </c>
      <c r="H3" s="8">
        <v>1</v>
      </c>
      <c r="L3" s="34"/>
      <c r="M3" s="1" t="s">
        <v>32</v>
      </c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x14ac:dyDescent="0.25">
      <c r="B4" s="5" t="s">
        <v>43</v>
      </c>
      <c r="C4" s="6" t="s">
        <v>38</v>
      </c>
      <c r="D4" s="1" t="s">
        <v>36</v>
      </c>
      <c r="E4" s="7">
        <v>45717</v>
      </c>
      <c r="F4" s="6">
        <v>13</v>
      </c>
      <c r="G4" s="7">
        <f t="shared" si="0"/>
        <v>45730</v>
      </c>
      <c r="H4" s="8">
        <v>1</v>
      </c>
      <c r="K4" s="34"/>
      <c r="L4" s="34"/>
      <c r="M4" s="1" t="s">
        <v>36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spans="1:25" x14ac:dyDescent="0.25">
      <c r="B5" s="5" t="s">
        <v>43</v>
      </c>
      <c r="C5" s="6" t="s">
        <v>38</v>
      </c>
      <c r="D5" s="1" t="s">
        <v>33</v>
      </c>
      <c r="E5" s="7">
        <v>45717</v>
      </c>
      <c r="F5" s="6">
        <v>13</v>
      </c>
      <c r="G5" s="7">
        <f t="shared" si="0"/>
        <v>45730</v>
      </c>
      <c r="H5" s="8">
        <v>1</v>
      </c>
      <c r="K5" s="34"/>
      <c r="L5" s="34"/>
      <c r="M5" s="1" t="s">
        <v>33</v>
      </c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spans="1:25" x14ac:dyDescent="0.25">
      <c r="B6" s="5" t="s">
        <v>43</v>
      </c>
      <c r="C6" s="6" t="s">
        <v>38</v>
      </c>
      <c r="D6" s="1" t="s">
        <v>34</v>
      </c>
      <c r="E6" s="7">
        <v>45717</v>
      </c>
      <c r="F6" s="6">
        <v>13</v>
      </c>
      <c r="G6" s="7">
        <f t="shared" si="0"/>
        <v>45730</v>
      </c>
      <c r="H6" s="8">
        <v>1</v>
      </c>
      <c r="K6" s="34"/>
      <c r="L6" s="34"/>
      <c r="M6" s="1" t="s">
        <v>34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spans="1:25" x14ac:dyDescent="0.25">
      <c r="B7" s="5" t="s">
        <v>43</v>
      </c>
      <c r="C7" s="6" t="s">
        <v>38</v>
      </c>
      <c r="D7" s="1" t="s">
        <v>35</v>
      </c>
      <c r="E7" s="7">
        <v>45717</v>
      </c>
      <c r="F7" s="6">
        <v>13</v>
      </c>
      <c r="G7" s="7">
        <f t="shared" si="0"/>
        <v>45730</v>
      </c>
      <c r="H7" s="8">
        <v>1</v>
      </c>
      <c r="K7" s="34"/>
      <c r="L7" s="34"/>
      <c r="M7" s="1" t="s">
        <v>35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1:25" x14ac:dyDescent="0.25">
      <c r="B8" s="5" t="s">
        <v>43</v>
      </c>
      <c r="C8" s="6" t="s">
        <v>41</v>
      </c>
      <c r="D8" s="1" t="s">
        <v>31</v>
      </c>
      <c r="E8" s="7">
        <v>45731</v>
      </c>
      <c r="F8" s="6">
        <v>2</v>
      </c>
      <c r="G8" s="7">
        <f t="shared" si="0"/>
        <v>45733</v>
      </c>
      <c r="H8" s="8">
        <v>1</v>
      </c>
      <c r="K8" s="34"/>
      <c r="L8" s="34"/>
      <c r="M8" s="1" t="s">
        <v>37</v>
      </c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spans="1:25" x14ac:dyDescent="0.25">
      <c r="A9" s="34"/>
      <c r="B9" s="5" t="s">
        <v>43</v>
      </c>
      <c r="C9" s="6" t="s">
        <v>41</v>
      </c>
      <c r="D9" s="1" t="s">
        <v>32</v>
      </c>
      <c r="E9" s="7">
        <v>45731</v>
      </c>
      <c r="F9" s="6">
        <v>2</v>
      </c>
      <c r="G9" s="7">
        <f t="shared" si="0"/>
        <v>45733</v>
      </c>
      <c r="H9" s="8">
        <v>1</v>
      </c>
      <c r="K9" s="34"/>
      <c r="L9" s="34"/>
      <c r="M9" s="1" t="s">
        <v>44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spans="1:25" x14ac:dyDescent="0.25">
      <c r="A10" s="34"/>
      <c r="B10" s="5" t="s">
        <v>43</v>
      </c>
      <c r="C10" s="6" t="s">
        <v>41</v>
      </c>
      <c r="D10" s="1" t="s">
        <v>36</v>
      </c>
      <c r="E10" s="7">
        <v>45731</v>
      </c>
      <c r="F10" s="6">
        <v>2</v>
      </c>
      <c r="G10" s="7">
        <f t="shared" si="0"/>
        <v>45733</v>
      </c>
      <c r="H10" s="8">
        <v>1</v>
      </c>
      <c r="K10" s="34"/>
      <c r="L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5" x14ac:dyDescent="0.25">
      <c r="A11" s="34"/>
      <c r="B11" s="5" t="s">
        <v>43</v>
      </c>
      <c r="C11" s="6" t="s">
        <v>41</v>
      </c>
      <c r="D11" s="1" t="s">
        <v>33</v>
      </c>
      <c r="E11" s="7">
        <v>45731</v>
      </c>
      <c r="F11" s="6">
        <v>2</v>
      </c>
      <c r="G11" s="7">
        <f t="shared" si="0"/>
        <v>45733</v>
      </c>
      <c r="H11" s="8">
        <v>1</v>
      </c>
      <c r="K11" s="34"/>
      <c r="L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25" x14ac:dyDescent="0.25">
      <c r="A12" s="34"/>
      <c r="B12" s="5" t="s">
        <v>43</v>
      </c>
      <c r="C12" s="6" t="s">
        <v>41</v>
      </c>
      <c r="D12" s="1" t="s">
        <v>34</v>
      </c>
      <c r="E12" s="7">
        <v>45731</v>
      </c>
      <c r="F12" s="6">
        <v>2</v>
      </c>
      <c r="G12" s="7">
        <f t="shared" si="0"/>
        <v>45733</v>
      </c>
      <c r="H12" s="8">
        <v>1</v>
      </c>
      <c r="K12" s="34"/>
      <c r="L12" s="34"/>
      <c r="N12" s="34"/>
      <c r="S12" s="10" t="s">
        <v>20</v>
      </c>
    </row>
    <row r="13" spans="1:25" x14ac:dyDescent="0.25">
      <c r="A13" s="34"/>
      <c r="B13" s="5" t="s">
        <v>43</v>
      </c>
      <c r="C13" s="6" t="s">
        <v>41</v>
      </c>
      <c r="D13" s="1" t="s">
        <v>35</v>
      </c>
      <c r="E13" s="7">
        <v>45731</v>
      </c>
      <c r="F13" s="6">
        <v>2</v>
      </c>
      <c r="G13" s="7">
        <f t="shared" si="0"/>
        <v>45733</v>
      </c>
      <c r="H13" s="8">
        <v>1</v>
      </c>
      <c r="K13" s="10" t="s">
        <v>19</v>
      </c>
      <c r="L13" s="10" t="s">
        <v>1</v>
      </c>
      <c r="M13" s="10" t="s">
        <v>2</v>
      </c>
      <c r="N13" s="10" t="s">
        <v>3</v>
      </c>
      <c r="O13" s="10" t="s">
        <v>4</v>
      </c>
      <c r="P13" s="10" t="s">
        <v>5</v>
      </c>
      <c r="Q13" s="10" t="s">
        <v>6</v>
      </c>
      <c r="S13" s="10" t="s">
        <v>0</v>
      </c>
      <c r="T13" s="10" t="s">
        <v>1</v>
      </c>
      <c r="U13" s="10" t="s">
        <v>2</v>
      </c>
      <c r="V13" s="10" t="s">
        <v>3</v>
      </c>
      <c r="W13" s="10" t="s">
        <v>4</v>
      </c>
      <c r="X13" s="10" t="s">
        <v>5</v>
      </c>
      <c r="Y13" s="10" t="s">
        <v>6</v>
      </c>
    </row>
    <row r="14" spans="1:25" x14ac:dyDescent="0.25">
      <c r="A14" s="34"/>
      <c r="B14" s="5" t="s">
        <v>43</v>
      </c>
      <c r="C14" s="6" t="s">
        <v>39</v>
      </c>
      <c r="D14" s="1" t="s">
        <v>37</v>
      </c>
      <c r="E14" s="7">
        <v>45734</v>
      </c>
      <c r="F14" s="6">
        <v>1</v>
      </c>
      <c r="G14" s="7">
        <f t="shared" si="0"/>
        <v>45735</v>
      </c>
      <c r="H14" s="8">
        <v>1</v>
      </c>
      <c r="K14" s="10" t="s">
        <v>0</v>
      </c>
      <c r="L14" s="6">
        <f t="array" ref="L14">IFERROR(INDEX(Main[],SMALL(IF((Main[PROGRESS]&lt;1),MATCH(ROW(Main[]),ROW(Main[])),""),ROWS($K$14:L14)),COLUMNS($A$1:B1)),"")</f>
        <v>0</v>
      </c>
      <c r="M14" s="6" t="str">
        <f t="array" ref="M14">IFERROR(INDEX(Main[],SMALL(IF((Main[PROGRESS]&lt;1),MATCH(ROW(Main[]),ROW(Main[])),""),ROWS($K$14:M14)),COLUMNS($A$1:C1)),"")</f>
        <v>DEV</v>
      </c>
      <c r="N14" s="7">
        <f t="array" ref="N14">IFERROR(INDEX(Main[],SMALL(IF((Main[PROGRESS]&lt;1),MATCH(ROW(Main[]),ROW(Main[])),""),ROWS($K$14:N14)),COLUMNS($A$1:D1)),"")</f>
        <v>45737</v>
      </c>
      <c r="O14" s="6">
        <f t="array" ref="O14">IFERROR(INDEX(Main[],SMALL(IF((Main[PROGRESS]&lt;1),MATCH(ROW(Main[]),ROW(Main[])),""),ROWS($K$14:O14)),COLUMNS($A$1:E1)),"")</f>
        <v>2</v>
      </c>
      <c r="P14" s="7">
        <f t="array" ref="P14">IFERROR(INDEX(Main[],SMALL(IF((Main[PROGRESS]&lt;1),MATCH(ROW(Main[]),ROW(Main[])),""),ROWS($K$14:P14)),COLUMNS($A$1:F1)),"")</f>
        <v>45739</v>
      </c>
      <c r="Q14" s="22">
        <f t="array" ref="Q14">IFERROR(INDEX(Main[],SMALL(IF((Main[PROGRESS]&lt;1),MATCH(ROW(Main[]),ROW(Main[])),""),ROWS($K$14:Q14)),COLUMNS($A$1:G1)),"")</f>
        <v>0.5</v>
      </c>
      <c r="S14" s="6" t="str">
        <f t="array" ref="S14">IFERROR(INDEX($K$14:$Q$44,SMALL(IF(($P$14:$P$44&lt;$O$2),MATCH(ROW($K$14:$Q$44),ROW($K$14:$Q$44)),""),ROWS(S$14:$S14)),COLUMNS($A$1:A1)),"")</f>
        <v/>
      </c>
      <c r="T14" s="6" t="str">
        <f t="array" ref="T14">IFERROR(INDEX($K$14:$Q$44,SMALL(IF(($P$14:$P$44&lt;$O$2),MATCH(ROW($K$14:$Q$44),ROW($K$14:$Q$44)),""),ROWS($S$14:T14)),COLUMNS($A$1:B1)),"")</f>
        <v/>
      </c>
      <c r="U14" s="6" t="str">
        <f t="array" ref="U14">IFERROR(INDEX($K$14:$Q$44,SMALL(IF(($P$14:$P$44&lt;$O$2),MATCH(ROW($K$14:$Q$44),ROW($K$14:$Q$44)),""),ROWS($S$14:U14)),COLUMNS($A$1:C1)),"")</f>
        <v/>
      </c>
      <c r="V14" s="7" t="str">
        <f t="array" ref="V14">IFERROR(INDEX($K$14:$Q$44,SMALL(IF(($P$14:$P$44&lt;$O$2),MATCH(ROW($K$14:$Q$44),ROW($K$14:$Q$44)),""),ROWS($S$14:V14)),COLUMNS($A$1:D1)),"")</f>
        <v/>
      </c>
      <c r="W14" s="6" t="str">
        <f t="array" ref="W14">IFERROR(INDEX($K$14:$Q$44,SMALL(IF(($P$14:$P$44&lt;$O$2),MATCH(ROW($K$14:$Q$44),ROW($K$14:$Q$44)),""),ROWS($S$14:W14)),COLUMNS($A$1:E1)),"")</f>
        <v/>
      </c>
      <c r="X14" s="7" t="str">
        <f t="array" ref="X14">IFERROR(INDEX($K$14:$Q$44,SMALL(IF(($P$14:$P$44&lt;$O$2),MATCH(ROW($K$14:$Q$44),ROW($K$14:$Q$44)),""),ROWS($S$14:X14)),COLUMNS($A$1:F1)),"")</f>
        <v/>
      </c>
      <c r="Y14" s="22" t="str">
        <f t="array" ref="Y14">IFERROR(INDEX($K$14:$Q$44,SMALL(IF(($P$14:$P$44&lt;$O$2),MATCH(ROW($K$14:$Q$44),ROW($K$14:$Q$44)),""),ROWS($S$14:Y14)),COLUMNS($A$1:G1)),"")</f>
        <v/>
      </c>
    </row>
    <row r="15" spans="1:25" x14ac:dyDescent="0.25">
      <c r="A15" s="34"/>
      <c r="B15" s="5" t="s">
        <v>43</v>
      </c>
      <c r="C15" s="6" t="s">
        <v>40</v>
      </c>
      <c r="D15" s="1" t="s">
        <v>37</v>
      </c>
      <c r="E15" s="7">
        <v>45735</v>
      </c>
      <c r="F15" s="6">
        <v>1</v>
      </c>
      <c r="G15" s="7">
        <f t="shared" si="0"/>
        <v>45736</v>
      </c>
      <c r="H15" s="8">
        <v>1</v>
      </c>
      <c r="K15" s="6" t="str">
        <f t="array" ref="K15">IFERROR(INDEX(Main[],SMALL(IF((Main[PROGRESS]&lt;1),MATCH(ROW(Main[]),ROW(Main[])),""),ROWS(K$15:$K15)),COLUMNS($A$1:A1)),"")</f>
        <v>BASE DE CONNAISSANCE IA OP</v>
      </c>
      <c r="L15" s="6">
        <f t="array" ref="L15">IFERROR(INDEX(Main[],SMALL(IF((Main[PROGRESS]&lt;1),MATCH(ROW(Main[]),ROW(Main[])),""),ROWS($K$14:L15)),COLUMNS($A$1:B2)),"")</f>
        <v>0</v>
      </c>
      <c r="M15" s="6" t="str">
        <f t="array" ref="M15">IFERROR(INDEX(Main[],SMALL(IF((Main[PROGRESS]&lt;1),MATCH(ROW(Main[]),ROW(Main[])),""),ROWS($K$14:M15)),COLUMNS($A$1:C2)),"")</f>
        <v>DEV</v>
      </c>
      <c r="N15" s="7">
        <f t="array" ref="N15">IFERROR(INDEX(Main[],SMALL(IF((Main[PROGRESS]&lt;1),MATCH(ROW(Main[]),ROW(Main[])),""),ROWS($K$14:N15)),COLUMNS($A$1:D2)),"")</f>
        <v>45737</v>
      </c>
      <c r="O15" s="6">
        <f t="array" ref="O15">IFERROR(INDEX(Main[],SMALL(IF((Main[PROGRESS]&lt;1),MATCH(ROW(Main[]),ROW(Main[])),""),ROWS($K$14:O15)),COLUMNS($A$1:E2)),"")</f>
        <v>1</v>
      </c>
      <c r="P15" s="7">
        <f t="array" ref="P15">IFERROR(INDEX(Main[],SMALL(IF((Main[PROGRESS]&lt;1),MATCH(ROW(Main[]),ROW(Main[])),""),ROWS($K$14:P15)),COLUMNS($A$1:F2)),"")</f>
        <v>45738</v>
      </c>
      <c r="Q15" s="22">
        <f t="array" ref="Q15">IFERROR(INDEX(Main[],SMALL(IF((Main[PROGRESS]&lt;1),MATCH(ROW(Main[]),ROW(Main[])),""),ROWS($K$14:Q15)),COLUMNS($A$1:G2)),"")</f>
        <v>0.5</v>
      </c>
      <c r="S15" s="6" t="str">
        <f t="array" ref="S15">IFERROR(INDEX($K$14:$Q$44,SMALL(IF(($P$14:$P$44&lt;$O$2),MATCH(ROW($K$14:$Q$44),ROW($K$14:$Q$44)),""),ROWS(S$14:$S15)),COLUMNS($A$1:A2)),"")</f>
        <v/>
      </c>
      <c r="T15" s="6" t="str">
        <f t="array" ref="T15">IFERROR(INDEX($K$14:$Q$44,SMALL(IF(($P$14:$P$44&lt;$O$2),MATCH(ROW($K$14:$Q$44),ROW($K$14:$Q$44)),""),ROWS($S$14:T15)),COLUMNS($A$1:B2)),"")</f>
        <v/>
      </c>
      <c r="U15" s="6" t="str">
        <f t="array" ref="U15">IFERROR(INDEX($K$14:$Q$44,SMALL(IF(($P$14:$P$44&lt;$O$2),MATCH(ROW($K$14:$Q$44),ROW($K$14:$Q$44)),""),ROWS($S$14:U15)),COLUMNS($A$1:C2)),"")</f>
        <v/>
      </c>
      <c r="V15" s="7" t="str">
        <f t="array" ref="V15">IFERROR(INDEX($K$14:$Q$44,SMALL(IF(($P$14:$P$44&lt;$O$2),MATCH(ROW($K$14:$Q$44),ROW($K$14:$Q$44)),""),ROWS($S$14:V15)),COLUMNS($A$1:D2)),"")</f>
        <v/>
      </c>
      <c r="W15" s="6" t="str">
        <f t="array" ref="W15">IFERROR(INDEX($K$14:$Q$44,SMALL(IF(($P$14:$P$44&lt;$O$2),MATCH(ROW($K$14:$Q$44),ROW($K$14:$Q$44)),""),ROWS($S$14:W15)),COLUMNS($A$1:E2)),"")</f>
        <v/>
      </c>
      <c r="X15" s="7" t="str">
        <f t="array" ref="X15">IFERROR(INDEX($K$14:$Q$44,SMALL(IF(($P$14:$P$44&lt;$O$2),MATCH(ROW($K$14:$Q$44),ROW($K$14:$Q$44)),""),ROWS($S$14:X15)),COLUMNS($A$1:F2)),"")</f>
        <v/>
      </c>
      <c r="Y15" s="22" t="str">
        <f t="array" ref="Y15">IFERROR(INDEX($K$14:$Q$44,SMALL(IF(($P$14:$P$44&lt;$O$2),MATCH(ROW($K$14:$Q$44),ROW($K$14:$Q$44)),""),ROWS($S$14:Y15)),COLUMNS($A$1:G2)),"")</f>
        <v/>
      </c>
    </row>
    <row r="16" spans="1:25" x14ac:dyDescent="0.25">
      <c r="A16" s="34"/>
      <c r="B16" s="40" t="s">
        <v>43</v>
      </c>
      <c r="C16" s="41"/>
      <c r="D16" s="42" t="s">
        <v>44</v>
      </c>
      <c r="E16" s="43">
        <v>45737</v>
      </c>
      <c r="F16" s="41">
        <v>2</v>
      </c>
      <c r="G16" s="43">
        <f t="shared" ref="G16:G22" si="1">E16+F16</f>
        <v>45739</v>
      </c>
      <c r="H16" s="44">
        <v>0.5</v>
      </c>
      <c r="K16" s="6" t="str">
        <f t="array" ref="K16">IFERROR(INDEX(Main[],SMALL(IF((Main[PROGRESS]&lt;1),MATCH(ROW(Main[]),ROW(Main[])),""),ROWS(K$15:$K16)),COLUMNS($A$1:A2)),"")</f>
        <v>BASE DE CONNAISSANCE IA OP</v>
      </c>
      <c r="L16" s="6">
        <f t="array" ref="L16">IFERROR(INDEX(Main[],SMALL(IF((Main[PROGRESS]&lt;1),MATCH(ROW(Main[]),ROW(Main[])),""),ROWS($K$14:L16)),COLUMNS($A$1:B3)),"")</f>
        <v>0</v>
      </c>
      <c r="M16" s="6" t="str">
        <f t="array" ref="M16">IFERROR(INDEX(Main[],SMALL(IF((Main[PROGRESS]&lt;1),MATCH(ROW(Main[]),ROW(Main[])),""),ROWS($K$14:M16)),COLUMNS($A$1:C3)),"")</f>
        <v>DEV</v>
      </c>
      <c r="N16" s="7">
        <f t="array" ref="N16">IFERROR(INDEX(Main[],SMALL(IF((Main[PROGRESS]&lt;1),MATCH(ROW(Main[]),ROW(Main[])),""),ROWS($K$14:N16)),COLUMNS($A$1:D3)),"")</f>
        <v>45738</v>
      </c>
      <c r="O16" s="6">
        <f t="array" ref="O16">IFERROR(INDEX(Main[],SMALL(IF((Main[PROGRESS]&lt;1),MATCH(ROW(Main[]),ROW(Main[])),""),ROWS($K$14:O16)),COLUMNS($A$1:E3)),"")</f>
        <v>4</v>
      </c>
      <c r="P16" s="7">
        <f t="array" ref="P16">IFERROR(INDEX(Main[],SMALL(IF((Main[PROGRESS]&lt;1),MATCH(ROW(Main[]),ROW(Main[])),""),ROWS($K$14:P16)),COLUMNS($A$1:F3)),"")</f>
        <v>45742</v>
      </c>
      <c r="Q16" s="22">
        <f t="array" ref="Q16">IFERROR(INDEX(Main[],SMALL(IF((Main[PROGRESS]&lt;1),MATCH(ROW(Main[]),ROW(Main[])),""),ROWS($K$14:Q16)),COLUMNS($A$1:G3)),"")</f>
        <v>0.5</v>
      </c>
      <c r="S16" s="6" t="str">
        <f t="array" ref="S16">IFERROR(INDEX($K$14:$Q$44,SMALL(IF(($P$14:$P$44&lt;$O$2),MATCH(ROW($K$14:$Q$44),ROW($K$14:$Q$44)),""),ROWS(S$14:$S16)),COLUMNS($A$1:A3)),"")</f>
        <v/>
      </c>
      <c r="T16" s="6" t="str">
        <f t="array" ref="T16">IFERROR(INDEX($K$14:$Q$44,SMALL(IF(($P$14:$P$44&lt;$O$2),MATCH(ROW($K$14:$Q$44),ROW($K$14:$Q$44)),""),ROWS($S$14:T16)),COLUMNS($A$1:B3)),"")</f>
        <v/>
      </c>
      <c r="U16" s="6" t="str">
        <f t="array" ref="U16">IFERROR(INDEX($K$14:$Q$44,SMALL(IF(($P$14:$P$44&lt;$O$2),MATCH(ROW($K$14:$Q$44),ROW($K$14:$Q$44)),""),ROWS($S$14:U16)),COLUMNS($A$1:C3)),"")</f>
        <v/>
      </c>
      <c r="V16" s="7" t="str">
        <f t="array" ref="V16">IFERROR(INDEX($K$14:$Q$44,SMALL(IF(($P$14:$P$44&lt;$O$2),MATCH(ROW($K$14:$Q$44),ROW($K$14:$Q$44)),""),ROWS($S$14:V16)),COLUMNS($A$1:D3)),"")</f>
        <v/>
      </c>
      <c r="W16" s="6" t="str">
        <f t="array" ref="W16">IFERROR(INDEX($K$14:$Q$44,SMALL(IF(($P$14:$P$44&lt;$O$2),MATCH(ROW($K$14:$Q$44),ROW($K$14:$Q$44)),""),ROWS($S$14:W16)),COLUMNS($A$1:E3)),"")</f>
        <v/>
      </c>
      <c r="X16" s="7" t="str">
        <f t="array" ref="X16">IFERROR(INDEX($K$14:$Q$44,SMALL(IF(($P$14:$P$44&lt;$O$2),MATCH(ROW($K$14:$Q$44),ROW($K$14:$Q$44)),""),ROWS($S$14:X16)),COLUMNS($A$1:F3)),"")</f>
        <v/>
      </c>
      <c r="Y16" s="22" t="str">
        <f t="array" ref="Y16">IFERROR(INDEX($K$14:$Q$44,SMALL(IF(($P$14:$P$44&lt;$O$2),MATCH(ROW($K$14:$Q$44),ROW($K$14:$Q$44)),""),ROWS($S$14:Y16)),COLUMNS($A$1:G3)),"")</f>
        <v/>
      </c>
    </row>
    <row r="17" spans="1:25" x14ac:dyDescent="0.25">
      <c r="A17" s="34"/>
      <c r="B17" s="40" t="s">
        <v>43</v>
      </c>
      <c r="C17" s="41"/>
      <c r="D17" s="42" t="s">
        <v>44</v>
      </c>
      <c r="E17" s="43">
        <v>45737</v>
      </c>
      <c r="F17" s="41">
        <v>1</v>
      </c>
      <c r="G17" s="43">
        <f t="shared" si="1"/>
        <v>45738</v>
      </c>
      <c r="H17" s="44">
        <v>0.5</v>
      </c>
      <c r="K17" s="6" t="str" cm="1">
        <f t="array" ref="K17">IFERROR(INDEX(Main[],SMALL(IF((Main[PROGRESS]&lt;1),MATCH(ROW(Main[]),ROW(Main[])),""),ROWS(K$15:$K17)),COLUMNS($A$1:A3)),"")</f>
        <v>BASE DE CONNAISSANCE IA OP</v>
      </c>
      <c r="L17" s="6">
        <f t="array" ref="L17">IFERROR(INDEX(Main[],SMALL(IF((Main[PROGRESS]&lt;1),MATCH(ROW(Main[]),ROW(Main[])),""),ROWS($K$14:L17)),COLUMNS($A$1:B4)),"")</f>
        <v>0</v>
      </c>
      <c r="M17" s="6" t="str">
        <f t="array" ref="M17">IFERROR(INDEX(Main[],SMALL(IF((Main[PROGRESS]&lt;1),MATCH(ROW(Main[]),ROW(Main[])),""),ROWS($K$14:M17)),COLUMNS($A$1:C4)),"")</f>
        <v>DEV</v>
      </c>
      <c r="N17" s="7">
        <f t="array" ref="N17">IFERROR(INDEX(Main[],SMALL(IF((Main[PROGRESS]&lt;1),MATCH(ROW(Main[]),ROW(Main[])),""),ROWS($K$14:N17)),COLUMNS($A$1:D4)),"")</f>
        <v>45739</v>
      </c>
      <c r="O17" s="6">
        <f t="array" ref="O17">IFERROR(INDEX(Main[],SMALL(IF((Main[PROGRESS]&lt;1),MATCH(ROW(Main[]),ROW(Main[])),""),ROWS($K$14:O17)),COLUMNS($A$1:E4)),"")</f>
        <v>1</v>
      </c>
      <c r="P17" s="7">
        <f t="array" ref="P17">IFERROR(INDEX(Main[],SMALL(IF((Main[PROGRESS]&lt;1),MATCH(ROW(Main[]),ROW(Main[])),""),ROWS($K$14:P17)),COLUMNS($A$1:F4)),"")</f>
        <v>45740</v>
      </c>
      <c r="Q17" s="22">
        <f t="array" ref="Q17">IFERROR(INDEX(Main[],SMALL(IF((Main[PROGRESS]&lt;1),MATCH(ROW(Main[]),ROW(Main[])),""),ROWS($K$14:Q17)),COLUMNS($A$1:G4)),"")</f>
        <v>0.5</v>
      </c>
      <c r="S17" s="6" t="str">
        <f t="array" ref="S17">IFERROR(INDEX($K$14:$Q$44,SMALL(IF(($P$14:$P$44&lt;$O$2),MATCH(ROW($K$14:$Q$44),ROW($K$14:$Q$44)),""),ROWS(S$14:$S17)),COLUMNS($A$1:A4)),"")</f>
        <v/>
      </c>
      <c r="T17" s="6" t="str">
        <f t="array" ref="T17">IFERROR(INDEX($K$14:$Q$44,SMALL(IF(($P$14:$P$44&lt;$O$2),MATCH(ROW($K$14:$Q$44),ROW($K$14:$Q$44)),""),ROWS($S$14:T17)),COLUMNS($A$1:B4)),"")</f>
        <v/>
      </c>
      <c r="U17" s="6" t="str">
        <f t="array" ref="U17">IFERROR(INDEX($K$14:$Q$44,SMALL(IF(($P$14:$P$44&lt;$O$2),MATCH(ROW($K$14:$Q$44),ROW($K$14:$Q$44)),""),ROWS($S$14:U17)),COLUMNS($A$1:C4)),"")</f>
        <v/>
      </c>
      <c r="V17" s="7" t="str">
        <f t="array" ref="V17">IFERROR(INDEX($K$14:$Q$44,SMALL(IF(($P$14:$P$44&lt;$O$2),MATCH(ROW($K$14:$Q$44),ROW($K$14:$Q$44)),""),ROWS($S$14:V17)),COLUMNS($A$1:D4)),"")</f>
        <v/>
      </c>
      <c r="W17" s="6" t="str">
        <f t="array" ref="W17">IFERROR(INDEX($K$14:$Q$44,SMALL(IF(($P$14:$P$44&lt;$O$2),MATCH(ROW($K$14:$Q$44),ROW($K$14:$Q$44)),""),ROWS($S$14:W17)),COLUMNS($A$1:E4)),"")</f>
        <v/>
      </c>
      <c r="X17" s="7" t="str">
        <f t="array" ref="X17">IFERROR(INDEX($K$14:$Q$44,SMALL(IF(($P$14:$P$44&lt;$O$2),MATCH(ROW($K$14:$Q$44),ROW($K$14:$Q$44)),""),ROWS($S$14:X17)),COLUMNS($A$1:F4)),"")</f>
        <v/>
      </c>
      <c r="Y17" s="22" t="str">
        <f t="array" ref="Y17">IFERROR(INDEX($K$14:$Q$44,SMALL(IF(($P$14:$P$44&lt;$O$2),MATCH(ROW($K$14:$Q$44),ROW($K$14:$Q$44)),""),ROWS($S$14:Y17)),COLUMNS($A$1:G4)),"")</f>
        <v/>
      </c>
    </row>
    <row r="18" spans="1:25" x14ac:dyDescent="0.25">
      <c r="A18" s="34"/>
      <c r="B18" s="40" t="s">
        <v>43</v>
      </c>
      <c r="C18" s="41"/>
      <c r="D18" s="42" t="s">
        <v>44</v>
      </c>
      <c r="E18" s="43">
        <v>45738</v>
      </c>
      <c r="F18" s="41">
        <v>4</v>
      </c>
      <c r="G18" s="43">
        <f t="shared" si="1"/>
        <v>45742</v>
      </c>
      <c r="H18" s="44">
        <v>0.5</v>
      </c>
      <c r="K18" s="6" t="str">
        <f t="array" ref="K18">IFERROR(INDEX(Main[],SMALL(IF((Main[PROGRESS]&lt;1),MATCH(ROW(Main[]),ROW(Main[])),""),ROWS(K$15:$K18)),COLUMNS($A$1:A4)),"")</f>
        <v>BASE DE CONNAISSANCE IA OP</v>
      </c>
      <c r="L18" s="6">
        <f t="array" ref="L18">IFERROR(INDEX(Main[],SMALL(IF((Main[PROGRESS]&lt;1),MATCH(ROW(Main[]),ROW(Main[])),""),ROWS($K$14:L18)),COLUMNS($A$1:B5)),"")</f>
        <v>0</v>
      </c>
      <c r="M18" s="6" t="str">
        <f t="array" ref="M18">IFERROR(INDEX(Main[],SMALL(IF((Main[PROGRESS]&lt;1),MATCH(ROW(Main[]),ROW(Main[])),""),ROWS($K$14:M18)),COLUMNS($A$1:C5)),"")</f>
        <v>DEV</v>
      </c>
      <c r="N18" s="7">
        <f t="array" ref="N18">IFERROR(INDEX(Main[],SMALL(IF((Main[PROGRESS]&lt;1),MATCH(ROW(Main[]),ROW(Main[])),""),ROWS($K$14:N18)),COLUMNS($A$1:D5)),"")</f>
        <v>45740</v>
      </c>
      <c r="O18" s="6">
        <f t="array" ref="O18">IFERROR(INDEX(Main[],SMALL(IF((Main[PROGRESS]&lt;1),MATCH(ROW(Main[]),ROW(Main[])),""),ROWS($K$14:O18)),COLUMNS($A$1:E5)),"")</f>
        <v>1</v>
      </c>
      <c r="P18" s="7">
        <f t="array" ref="P18">IFERROR(INDEX(Main[],SMALL(IF((Main[PROGRESS]&lt;1),MATCH(ROW(Main[]),ROW(Main[])),""),ROWS($K$14:P18)),COLUMNS($A$1:F5)),"")</f>
        <v>45741</v>
      </c>
      <c r="Q18" s="22">
        <f t="array" ref="Q18">IFERROR(INDEX(Main[],SMALL(IF((Main[PROGRESS]&lt;1),MATCH(ROW(Main[]),ROW(Main[])),""),ROWS($K$14:Q18)),COLUMNS($A$1:G5)),"")</f>
        <v>0.5</v>
      </c>
      <c r="S18" s="6" t="str">
        <f t="array" ref="S18">IFERROR(INDEX($K$14:$Q$44,SMALL(IF(($P$14:$P$44&lt;$O$2),MATCH(ROW($K$14:$Q$44),ROW($K$14:$Q$44)),""),ROWS(S$14:$S18)),COLUMNS($A$1:A5)),"")</f>
        <v/>
      </c>
      <c r="T18" s="6" t="str">
        <f t="array" ref="T18">IFERROR(INDEX($K$14:$Q$44,SMALL(IF(($P$14:$P$44&lt;$O$2),MATCH(ROW($K$14:$Q$44),ROW($K$14:$Q$44)),""),ROWS($S$14:T18)),COLUMNS($A$1:B5)),"")</f>
        <v/>
      </c>
      <c r="U18" s="6" t="str">
        <f t="array" ref="U18">IFERROR(INDEX($K$14:$Q$44,SMALL(IF(($P$14:$P$44&lt;$O$2),MATCH(ROW($K$14:$Q$44),ROW($K$14:$Q$44)),""),ROWS($S$14:U18)),COLUMNS($A$1:C5)),"")</f>
        <v/>
      </c>
      <c r="V18" s="7" t="str">
        <f t="array" ref="V18">IFERROR(INDEX($K$14:$Q$44,SMALL(IF(($P$14:$P$44&lt;$O$2),MATCH(ROW($K$14:$Q$44),ROW($K$14:$Q$44)),""),ROWS($S$14:V18)),COLUMNS($A$1:D5)),"")</f>
        <v/>
      </c>
      <c r="W18" s="6" t="str">
        <f t="array" ref="W18">IFERROR(INDEX($K$14:$Q$44,SMALL(IF(($P$14:$P$44&lt;$O$2),MATCH(ROW($K$14:$Q$44),ROW($K$14:$Q$44)),""),ROWS($S$14:W18)),COLUMNS($A$1:E5)),"")</f>
        <v/>
      </c>
      <c r="X18" s="7" t="str">
        <f t="array" ref="X18">IFERROR(INDEX($K$14:$Q$44,SMALL(IF(($P$14:$P$44&lt;$O$2),MATCH(ROW($K$14:$Q$44),ROW($K$14:$Q$44)),""),ROWS($S$14:X18)),COLUMNS($A$1:F5)),"")</f>
        <v/>
      </c>
      <c r="Y18" s="22" t="str">
        <f t="array" ref="Y18">IFERROR(INDEX($K$14:$Q$44,SMALL(IF(($P$14:$P$44&lt;$O$2),MATCH(ROW($K$14:$Q$44),ROW($K$14:$Q$44)),""),ROWS($S$14:Y18)),COLUMNS($A$1:G5)),"")</f>
        <v/>
      </c>
    </row>
    <row r="19" spans="1:25" x14ac:dyDescent="0.25">
      <c r="A19" s="34"/>
      <c r="B19" s="40" t="s">
        <v>43</v>
      </c>
      <c r="C19" s="41"/>
      <c r="D19" s="42" t="s">
        <v>44</v>
      </c>
      <c r="E19" s="43">
        <v>45739</v>
      </c>
      <c r="F19" s="41">
        <v>1</v>
      </c>
      <c r="G19" s="43">
        <f t="shared" si="1"/>
        <v>45740</v>
      </c>
      <c r="H19" s="44">
        <v>0.5</v>
      </c>
      <c r="K19" s="6" t="str">
        <f t="array" ref="K19">IFERROR(INDEX(Main[],SMALL(IF((Main[PROGRESS]&lt;1),MATCH(ROW(Main[]),ROW(Main[])),""),ROWS(K$15:$K19)),COLUMNS($A$1:A5)),"")</f>
        <v>BASE DE CONNAISSANCE IA OP</v>
      </c>
      <c r="L19" s="6">
        <f t="array" ref="L19">IFERROR(INDEX(Main[],SMALL(IF((Main[PROGRESS]&lt;1),MATCH(ROW(Main[]),ROW(Main[])),""),ROWS($K$14:L19)),COLUMNS($A$1:B6)),"")</f>
        <v>0</v>
      </c>
      <c r="M19" s="6" t="str">
        <f t="array" ref="M19">IFERROR(INDEX(Main[],SMALL(IF((Main[PROGRESS]&lt;1),MATCH(ROW(Main[]),ROW(Main[])),""),ROWS($K$14:M19)),COLUMNS($A$1:C6)),"")</f>
        <v>DEV</v>
      </c>
      <c r="N19" s="7">
        <f t="array" ref="N19">IFERROR(INDEX(Main[],SMALL(IF((Main[PROGRESS]&lt;1),MATCH(ROW(Main[]),ROW(Main[])),""),ROWS($K$14:N19)),COLUMNS($A$1:D6)),"")</f>
        <v>45741</v>
      </c>
      <c r="O19" s="6">
        <f t="array" ref="O19">IFERROR(INDEX(Main[],SMALL(IF((Main[PROGRESS]&lt;1),MATCH(ROW(Main[]),ROW(Main[])),""),ROWS($K$14:O19)),COLUMNS($A$1:E6)),"")</f>
        <v>7</v>
      </c>
      <c r="P19" s="7">
        <f t="array" ref="P19">IFERROR(INDEX(Main[],SMALL(IF((Main[PROGRESS]&lt;1),MATCH(ROW(Main[]),ROW(Main[])),""),ROWS($K$14:P19)),COLUMNS($A$1:F6)),"")</f>
        <v>45748</v>
      </c>
      <c r="Q19" s="22">
        <f t="array" ref="Q19">IFERROR(INDEX(Main[],SMALL(IF((Main[PROGRESS]&lt;1),MATCH(ROW(Main[]),ROW(Main[])),""),ROWS($K$14:Q19)),COLUMNS($A$1:G6)),"")</f>
        <v>0.5</v>
      </c>
      <c r="S19" s="6" t="str">
        <f t="array" ref="S19">IFERROR(INDEX($K$14:$Q$44,SMALL(IF(($P$14:$P$44&lt;$O$2),MATCH(ROW($K$14:$Q$44),ROW($K$14:$Q$44)),""),ROWS(S$14:$S19)),COLUMNS($A$1:A6)),"")</f>
        <v/>
      </c>
      <c r="T19" s="6" t="str">
        <f t="array" ref="T19">IFERROR(INDEX($K$14:$Q$44,SMALL(IF(($P$14:$P$44&lt;$O$2),MATCH(ROW($K$14:$Q$44),ROW($K$14:$Q$44)),""),ROWS($S$14:T19)),COLUMNS($A$1:B6)),"")</f>
        <v/>
      </c>
      <c r="U19" s="6" t="str">
        <f t="array" ref="U19">IFERROR(INDEX($K$14:$Q$44,SMALL(IF(($P$14:$P$44&lt;$O$2),MATCH(ROW($K$14:$Q$44),ROW($K$14:$Q$44)),""),ROWS($S$14:U19)),COLUMNS($A$1:C6)),"")</f>
        <v/>
      </c>
      <c r="V19" s="7" t="str">
        <f t="array" ref="V19">IFERROR(INDEX($K$14:$Q$44,SMALL(IF(($P$14:$P$44&lt;$O$2),MATCH(ROW($K$14:$Q$44),ROW($K$14:$Q$44)),""),ROWS($S$14:V19)),COLUMNS($A$1:D6)),"")</f>
        <v/>
      </c>
      <c r="W19" s="6" t="str">
        <f t="array" ref="W19">IFERROR(INDEX($K$14:$Q$44,SMALL(IF(($P$14:$P$44&lt;$O$2),MATCH(ROW($K$14:$Q$44),ROW($K$14:$Q$44)),""),ROWS($S$14:W19)),COLUMNS($A$1:E6)),"")</f>
        <v/>
      </c>
      <c r="X19" s="7" t="str">
        <f t="array" ref="X19">IFERROR(INDEX($K$14:$Q$44,SMALL(IF(($P$14:$P$44&lt;$O$2),MATCH(ROW($K$14:$Q$44),ROW($K$14:$Q$44)),""),ROWS($S$14:X19)),COLUMNS($A$1:F6)),"")</f>
        <v/>
      </c>
      <c r="Y19" s="22" t="str">
        <f t="array" ref="Y19">IFERROR(INDEX($K$14:$Q$44,SMALL(IF(($P$14:$P$44&lt;$O$2),MATCH(ROW($K$14:$Q$44),ROW($K$14:$Q$44)),""),ROWS($S$14:Y19)),COLUMNS($A$1:G6)),"")</f>
        <v/>
      </c>
    </row>
    <row r="20" spans="1:25" x14ac:dyDescent="0.25">
      <c r="A20" s="34"/>
      <c r="B20" s="40" t="s">
        <v>43</v>
      </c>
      <c r="C20" s="41"/>
      <c r="D20" s="42" t="s">
        <v>44</v>
      </c>
      <c r="E20" s="43">
        <v>45740</v>
      </c>
      <c r="F20" s="41">
        <v>1</v>
      </c>
      <c r="G20" s="43">
        <f t="shared" si="1"/>
        <v>45741</v>
      </c>
      <c r="H20" s="44">
        <v>0.5</v>
      </c>
      <c r="K20" s="6" t="str">
        <f t="array" ref="K20">IFERROR(INDEX(Main[],SMALL(IF((Main[PROGRESS]&lt;1),MATCH(ROW(Main[]),ROW(Main[])),""),ROWS(K$15:$K20)),COLUMNS($A$1:A6)),"")</f>
        <v>BASE DE CONNAISSANCE IA OP</v>
      </c>
      <c r="L20" s="6">
        <f t="array" ref="L20">IFERROR(INDEX(Main[],SMALL(IF((Main[PROGRESS]&lt;1),MATCH(ROW(Main[]),ROW(Main[])),""),ROWS($K$14:L20)),COLUMNS($A$1:B7)),"")</f>
        <v>0</v>
      </c>
      <c r="M20" s="6" t="str">
        <f t="array" ref="M20">IFERROR(INDEX(Main[],SMALL(IF((Main[PROGRESS]&lt;1),MATCH(ROW(Main[]),ROW(Main[])),""),ROWS($K$14:M20)),COLUMNS($A$1:C7)),"")</f>
        <v>DEV</v>
      </c>
      <c r="N20" s="7">
        <f t="array" ref="N20">IFERROR(INDEX(Main[],SMALL(IF((Main[PROGRESS]&lt;1),MATCH(ROW(Main[]),ROW(Main[])),""),ROWS($K$14:N20)),COLUMNS($A$1:D7)),"")</f>
        <v>45742</v>
      </c>
      <c r="O20" s="6">
        <f t="array" ref="O20">IFERROR(INDEX(Main[],SMALL(IF((Main[PROGRESS]&lt;1),MATCH(ROW(Main[]),ROW(Main[])),""),ROWS($K$14:O20)),COLUMNS($A$1:E7)),"")</f>
        <v>4</v>
      </c>
      <c r="P20" s="7">
        <f t="array" ref="P20">IFERROR(INDEX(Main[],SMALL(IF((Main[PROGRESS]&lt;1),MATCH(ROW(Main[]),ROW(Main[])),""),ROWS($K$14:P20)),COLUMNS($A$1:F7)),"")</f>
        <v>45746</v>
      </c>
      <c r="Q20" s="22">
        <f t="array" ref="Q20">IFERROR(INDEX(Main[],SMALL(IF((Main[PROGRESS]&lt;1),MATCH(ROW(Main[]),ROW(Main[])),""),ROWS($K$14:Q20)),COLUMNS($A$1:G7)),"")</f>
        <v>0.5</v>
      </c>
      <c r="S20" s="6" t="str">
        <f t="array" ref="S20">IFERROR(INDEX($K$14:$Q$44,SMALL(IF(($P$14:$P$44&lt;$O$2),MATCH(ROW($K$14:$Q$44),ROW($K$14:$Q$44)),""),ROWS(S$14:$S20)),COLUMNS($A$1:A7)),"")</f>
        <v/>
      </c>
      <c r="T20" s="6" t="str">
        <f t="array" ref="T20">IFERROR(INDEX($K$14:$Q$44,SMALL(IF(($P$14:$P$44&lt;$O$2),MATCH(ROW($K$14:$Q$44),ROW($K$14:$Q$44)),""),ROWS($S$14:T20)),COLUMNS($A$1:B7)),"")</f>
        <v/>
      </c>
      <c r="U20" s="6" t="str">
        <f t="array" ref="U20">IFERROR(INDEX($K$14:$Q$44,SMALL(IF(($P$14:$P$44&lt;$O$2),MATCH(ROW($K$14:$Q$44),ROW($K$14:$Q$44)),""),ROWS($S$14:U20)),COLUMNS($A$1:C7)),"")</f>
        <v/>
      </c>
      <c r="V20" s="7" t="str">
        <f t="array" ref="V20">IFERROR(INDEX($K$14:$Q$44,SMALL(IF(($P$14:$P$44&lt;$O$2),MATCH(ROW($K$14:$Q$44),ROW($K$14:$Q$44)),""),ROWS($S$14:V20)),COLUMNS($A$1:D7)),"")</f>
        <v/>
      </c>
      <c r="W20" s="6" t="str">
        <f t="array" ref="W20">IFERROR(INDEX($K$14:$Q$44,SMALL(IF(($P$14:$P$44&lt;$O$2),MATCH(ROW($K$14:$Q$44),ROW($K$14:$Q$44)),""),ROWS($S$14:W20)),COLUMNS($A$1:E7)),"")</f>
        <v/>
      </c>
      <c r="X20" s="7" t="str">
        <f t="array" ref="X20">IFERROR(INDEX($K$14:$Q$44,SMALL(IF(($P$14:$P$44&lt;$O$2),MATCH(ROW($K$14:$Q$44),ROW($K$14:$Q$44)),""),ROWS($S$14:X20)),COLUMNS($A$1:F7)),"")</f>
        <v/>
      </c>
      <c r="Y20" s="22" t="str">
        <f t="array" ref="Y20">IFERROR(INDEX($K$14:$Q$44,SMALL(IF(($P$14:$P$44&lt;$O$2),MATCH(ROW($K$14:$Q$44),ROW($K$14:$Q$44)),""),ROWS($S$14:Y20)),COLUMNS($A$1:G7)),"")</f>
        <v/>
      </c>
    </row>
    <row r="21" spans="1:25" x14ac:dyDescent="0.25">
      <c r="A21" s="34"/>
      <c r="B21" s="40" t="s">
        <v>43</v>
      </c>
      <c r="C21" s="41"/>
      <c r="D21" s="42" t="s">
        <v>44</v>
      </c>
      <c r="E21" s="43">
        <v>45741</v>
      </c>
      <c r="F21" s="41">
        <v>7</v>
      </c>
      <c r="G21" s="43">
        <f t="shared" si="1"/>
        <v>45748</v>
      </c>
      <c r="H21" s="44">
        <v>0.5</v>
      </c>
      <c r="K21" s="6" t="str">
        <f t="array" ref="K21">IFERROR(INDEX(Main[],SMALL(IF((Main[PROGRESS]&lt;1),MATCH(ROW(Main[]),ROW(Main[])),""),ROWS(K$15:$K21)),COLUMNS($A$1:A7)),"")</f>
        <v>BASE DE CONNAISSANCE IA OP</v>
      </c>
      <c r="L21" s="6" t="str">
        <f t="array" ref="L21">IFERROR(INDEX(Main[],SMALL(IF((Main[PROGRESS]&lt;1),MATCH(ROW(Main[]),ROW(Main[])),""),ROWS($K$14:L21)),COLUMNS($A$1:B8)),"")</f>
        <v/>
      </c>
      <c r="M21" s="6" t="str">
        <f t="array" ref="M21">IFERROR(INDEX(Main[],SMALL(IF((Main[PROGRESS]&lt;1),MATCH(ROW(Main[]),ROW(Main[])),""),ROWS($K$14:M21)),COLUMNS($A$1:C8)),"")</f>
        <v/>
      </c>
      <c r="N21" s="7" t="str">
        <f t="array" ref="N21">IFERROR(INDEX(Main[],SMALL(IF((Main[PROGRESS]&lt;1),MATCH(ROW(Main[]),ROW(Main[])),""),ROWS($K$14:N21)),COLUMNS($A$1:D8)),"")</f>
        <v/>
      </c>
      <c r="O21" s="6" t="str">
        <f t="array" ref="O21">IFERROR(INDEX(Main[],SMALL(IF((Main[PROGRESS]&lt;1),MATCH(ROW(Main[]),ROW(Main[])),""),ROWS($K$14:O21)),COLUMNS($A$1:E8)),"")</f>
        <v/>
      </c>
      <c r="P21" s="7" t="str">
        <f t="array" ref="P21">IFERROR(INDEX(Main[],SMALL(IF((Main[PROGRESS]&lt;1),MATCH(ROW(Main[]),ROW(Main[])),""),ROWS($K$14:P21)),COLUMNS($A$1:F8)),"")</f>
        <v/>
      </c>
      <c r="Q21" s="22" t="str">
        <f t="array" ref="Q21">IFERROR(INDEX(Main[],SMALL(IF((Main[PROGRESS]&lt;1),MATCH(ROW(Main[]),ROW(Main[])),""),ROWS($K$14:Q21)),COLUMNS($A$1:G8)),"")</f>
        <v/>
      </c>
      <c r="S21" s="6" t="str">
        <f t="array" ref="S21">IFERROR(INDEX($K$14:$Q$44,SMALL(IF(($P$14:$P$44&lt;$O$2),MATCH(ROW($K$14:$Q$44),ROW($K$14:$Q$44)),""),ROWS(S$14:$S21)),COLUMNS($A$1:A8)),"")</f>
        <v/>
      </c>
      <c r="T21" s="6" t="str">
        <f t="array" ref="T21">IFERROR(INDEX($K$14:$Q$44,SMALL(IF(($P$14:$P$44&lt;$O$2),MATCH(ROW($K$14:$Q$44),ROW($K$14:$Q$44)),""),ROWS($S$14:T21)),COLUMNS($A$1:B8)),"")</f>
        <v/>
      </c>
      <c r="U21" s="6" t="str">
        <f t="array" ref="U21">IFERROR(INDEX($K$14:$Q$44,SMALL(IF(($P$14:$P$44&lt;$O$2),MATCH(ROW($K$14:$Q$44),ROW($K$14:$Q$44)),""),ROWS($S$14:U21)),COLUMNS($A$1:C8)),"")</f>
        <v/>
      </c>
      <c r="V21" s="7" t="str">
        <f t="array" ref="V21">IFERROR(INDEX($K$14:$Q$44,SMALL(IF(($P$14:$P$44&lt;$O$2),MATCH(ROW($K$14:$Q$44),ROW($K$14:$Q$44)),""),ROWS($S$14:V21)),COLUMNS($A$1:D8)),"")</f>
        <v/>
      </c>
      <c r="W21" s="6" t="str">
        <f t="array" ref="W21">IFERROR(INDEX($K$14:$Q$44,SMALL(IF(($P$14:$P$44&lt;$O$2),MATCH(ROW($K$14:$Q$44),ROW($K$14:$Q$44)),""),ROWS($S$14:W21)),COLUMNS($A$1:E8)),"")</f>
        <v/>
      </c>
      <c r="X21" s="7" t="str">
        <f t="array" ref="X21">IFERROR(INDEX($K$14:$Q$44,SMALL(IF(($P$14:$P$44&lt;$O$2),MATCH(ROW($K$14:$Q$44),ROW($K$14:$Q$44)),""),ROWS($S$14:X21)),COLUMNS($A$1:F8)),"")</f>
        <v/>
      </c>
      <c r="Y21" s="22" t="str">
        <f t="array" ref="Y21">IFERROR(INDEX($K$14:$Q$44,SMALL(IF(($P$14:$P$44&lt;$O$2),MATCH(ROW($K$14:$Q$44),ROW($K$14:$Q$44)),""),ROWS($S$14:Y21)),COLUMNS($A$1:G8)),"")</f>
        <v/>
      </c>
    </row>
    <row r="22" spans="1:25" x14ac:dyDescent="0.25">
      <c r="A22" s="34"/>
      <c r="B22" s="40" t="s">
        <v>43</v>
      </c>
      <c r="C22" s="41"/>
      <c r="D22" s="42" t="s">
        <v>44</v>
      </c>
      <c r="E22" s="43">
        <v>45742</v>
      </c>
      <c r="F22" s="41">
        <v>4</v>
      </c>
      <c r="G22" s="43">
        <f t="shared" si="1"/>
        <v>45746</v>
      </c>
      <c r="H22" s="44">
        <v>0.5</v>
      </c>
      <c r="K22" s="6" t="str">
        <f t="array" ref="K22">IFERROR(INDEX(Main[],SMALL(IF((Main[PROGRESS]&lt;1),MATCH(ROW(Main[]),ROW(Main[])),""),ROWS(K$15:$K22)),COLUMNS($A$1:A8)),"")</f>
        <v/>
      </c>
      <c r="L22" s="34" t="str">
        <f t="array" ref="L22">IFERROR(INDEX(Main[],SMALL(IF((Main[PROGRESS]&lt;1),MATCH(ROW(Main[]),ROW(Main[])),""),ROWS($K$14:L22)),COLUMNS($A$1:B9)),"")</f>
        <v/>
      </c>
      <c r="M22" s="34" t="str">
        <f t="array" ref="M22">IFERROR(INDEX(Main[],SMALL(IF((Main[PROGRESS]&lt;1),MATCH(ROW(Main[]),ROW(Main[])),""),ROWS($K$14:M22)),COLUMNS($A$1:C9)),"")</f>
        <v/>
      </c>
      <c r="N22" s="34" t="str">
        <f t="array" ref="N22">IFERROR(INDEX(Main[],SMALL(IF((Main[PROGRESS]&lt;1),MATCH(ROW(Main[]),ROW(Main[])),""),ROWS($K$14:N22)),COLUMNS($A$1:D9)),"")</f>
        <v/>
      </c>
      <c r="O22" s="34" t="str">
        <f t="array" ref="O22">IFERROR(INDEX(Main[],SMALL(IF((Main[PROGRESS]&lt;1),MATCH(ROW(Main[]),ROW(Main[])),""),ROWS($K$14:O22)),COLUMNS($A$1:E9)),"")</f>
        <v/>
      </c>
      <c r="P22" s="34" t="str">
        <f t="array" ref="P22">IFERROR(INDEX(Main[],SMALL(IF((Main[PROGRESS]&lt;1),MATCH(ROW(Main[]),ROW(Main[])),""),ROWS($K$14:P22)),COLUMNS($A$1:F9)),"")</f>
        <v/>
      </c>
      <c r="Q22" s="34" t="str">
        <f t="array" ref="Q22">IFERROR(INDEX(Main[],SMALL(IF((Main[PROGRESS]&lt;1),MATCH(ROW(Main[]),ROW(Main[])),""),ROWS($K$14:Q22)),COLUMNS($A$1:G9)),"")</f>
        <v/>
      </c>
      <c r="R22" s="34"/>
      <c r="S22" s="6" t="str">
        <f t="array" ref="S22">IFERROR(INDEX($K$14:$Q$44,SMALL(IF(($P$14:$P$44&lt;$O$2),MATCH(ROW($K$14:$Q$44),ROW($K$14:$Q$44)),""),ROWS(S$14:$S22)),COLUMNS($A$1:A9)),"")</f>
        <v/>
      </c>
      <c r="T22" s="6" t="str">
        <f t="array" ref="T22">IFERROR(INDEX($K$14:$Q$44,SMALL(IF(($P$14:$P$44&lt;$O$2),MATCH(ROW($K$14:$Q$44),ROW($K$14:$Q$44)),""),ROWS($S$14:T22)),COLUMNS($A$1:B9)),"")</f>
        <v/>
      </c>
      <c r="U22" s="6" t="str">
        <f t="array" ref="U22">IFERROR(INDEX($K$14:$Q$44,SMALL(IF(($P$14:$P$44&lt;$O$2),MATCH(ROW($K$14:$Q$44),ROW($K$14:$Q$44)),""),ROWS($S$14:U22)),COLUMNS($A$1:C9)),"")</f>
        <v/>
      </c>
      <c r="V22" s="7" t="str">
        <f t="array" ref="V22">IFERROR(INDEX($K$14:$Q$44,SMALL(IF(($P$14:$P$44&lt;$O$2),MATCH(ROW($K$14:$Q$44),ROW($K$14:$Q$44)),""),ROWS($S$14:V22)),COLUMNS($A$1:D9)),"")</f>
        <v/>
      </c>
      <c r="W22" s="6" t="str">
        <f t="array" ref="W22">IFERROR(INDEX($K$14:$Q$44,SMALL(IF(($P$14:$P$44&lt;$O$2),MATCH(ROW($K$14:$Q$44),ROW($K$14:$Q$44)),""),ROWS($S$14:W22)),COLUMNS($A$1:E9)),"")</f>
        <v/>
      </c>
      <c r="X22" s="7" t="str">
        <f t="array" ref="X22">IFERROR(INDEX($K$14:$Q$44,SMALL(IF(($P$14:$P$44&lt;$O$2),MATCH(ROW($K$14:$Q$44),ROW($K$14:$Q$44)),""),ROWS($S$14:X22)),COLUMNS($A$1:F9)),"")</f>
        <v/>
      </c>
      <c r="Y22" s="22" t="str">
        <f t="array" ref="Y22">IFERROR(INDEX($K$14:$Q$44,SMALL(IF(($P$14:$P$44&lt;$O$2),MATCH(ROW($K$14:$Q$44),ROW($K$14:$Q$44)),""),ROWS($S$14:Y22)),COLUMNS($A$1:G9)),"")</f>
        <v/>
      </c>
    </row>
    <row r="23" spans="1:25" x14ac:dyDescent="0.25">
      <c r="A23" s="34"/>
      <c r="B23" s="34"/>
      <c r="C23" s="34"/>
      <c r="D23" s="34"/>
      <c r="E23" s="34"/>
      <c r="F23" s="34"/>
      <c r="G23" s="34"/>
      <c r="H23" s="34"/>
      <c r="K23" s="34" t="str">
        <f t="array" ref="K23">IFERROR(INDEX(Main[],SMALL(IF((Main[PROGRESS]&lt;1),MATCH(ROW(Main[]),ROW(Main[])),""),ROWS(K$15:$K23)),COLUMNS($A$1:A9)),"")</f>
        <v/>
      </c>
      <c r="L23" s="34" t="str">
        <f t="array" ref="L23">IFERROR(INDEX(Main[],SMALL(IF((Main[PROGRESS]&lt;1),MATCH(ROW(Main[]),ROW(Main[])),""),ROWS($K$14:L23)),COLUMNS($A$1:B10)),"")</f>
        <v/>
      </c>
      <c r="M23" s="34" t="str">
        <f t="array" ref="M23">IFERROR(INDEX(Main[],SMALL(IF((Main[PROGRESS]&lt;1),MATCH(ROW(Main[]),ROW(Main[])),""),ROWS($K$14:M23)),COLUMNS($A$1:C10)),"")</f>
        <v/>
      </c>
      <c r="N23" s="34" t="str">
        <f t="array" ref="N23">IFERROR(INDEX(Main[],SMALL(IF((Main[PROGRESS]&lt;1),MATCH(ROW(Main[]),ROW(Main[])),""),ROWS($K$14:N23)),COLUMNS($A$1:D10)),"")</f>
        <v/>
      </c>
      <c r="O23" s="34" t="str">
        <f t="array" ref="O23">IFERROR(INDEX(Main[],SMALL(IF((Main[PROGRESS]&lt;1),MATCH(ROW(Main[]),ROW(Main[])),""),ROWS($K$14:O23)),COLUMNS($A$1:E10)),"")</f>
        <v/>
      </c>
      <c r="P23" s="34" t="str">
        <f t="array" ref="P23">IFERROR(INDEX(Main[],SMALL(IF((Main[PROGRESS]&lt;1),MATCH(ROW(Main[]),ROW(Main[])),""),ROWS($K$14:P23)),COLUMNS($A$1:F10)),"")</f>
        <v/>
      </c>
      <c r="Q23" s="34" t="str">
        <f t="array" ref="Q23">IFERROR(INDEX(Main[],SMALL(IF((Main[PROGRESS]&lt;1),MATCH(ROW(Main[]),ROW(Main[])),""),ROWS($K$14:Q23)),COLUMNS($A$1:G10)),"")</f>
        <v/>
      </c>
      <c r="R23" s="34"/>
      <c r="S23" s="6" t="str">
        <f t="array" ref="S23">IFERROR(INDEX($K$14:$Q$44,SMALL(IF(($P$14:$P$44&lt;$O$2),MATCH(ROW($K$14:$Q$44),ROW($K$14:$Q$44)),""),ROWS(S$14:$S23)),COLUMNS($A$1:A10)),"")</f>
        <v/>
      </c>
      <c r="T23" s="6" t="str">
        <f t="array" ref="T23">IFERROR(INDEX($K$14:$Q$44,SMALL(IF(($P$14:$P$44&lt;$O$2),MATCH(ROW($K$14:$Q$44),ROW($K$14:$Q$44)),""),ROWS($S$14:T23)),COLUMNS($A$1:B10)),"")</f>
        <v/>
      </c>
      <c r="U23" s="6" t="str">
        <f t="array" ref="U23">IFERROR(INDEX($K$14:$Q$44,SMALL(IF(($P$14:$P$44&lt;$O$2),MATCH(ROW($K$14:$Q$44),ROW($K$14:$Q$44)),""),ROWS($S$14:U23)),COLUMNS($A$1:C10)),"")</f>
        <v/>
      </c>
      <c r="V23" s="7" t="str">
        <f t="array" ref="V23">IFERROR(INDEX($K$14:$Q$44,SMALL(IF(($P$14:$P$44&lt;$O$2),MATCH(ROW($K$14:$Q$44),ROW($K$14:$Q$44)),""),ROWS($S$14:V23)),COLUMNS($A$1:D10)),"")</f>
        <v/>
      </c>
      <c r="W23" s="6" t="str">
        <f t="array" ref="W23">IFERROR(INDEX($K$14:$Q$44,SMALL(IF(($P$14:$P$44&lt;$O$2),MATCH(ROW($K$14:$Q$44),ROW($K$14:$Q$44)),""),ROWS($S$14:W23)),COLUMNS($A$1:E10)),"")</f>
        <v/>
      </c>
      <c r="X23" s="7" t="str">
        <f t="array" ref="X23">IFERROR(INDEX($K$14:$Q$44,SMALL(IF(($P$14:$P$44&lt;$O$2),MATCH(ROW($K$14:$Q$44),ROW($K$14:$Q$44)),""),ROWS($S$14:X23)),COLUMNS($A$1:F10)),"")</f>
        <v/>
      </c>
      <c r="Y23" s="22" t="str">
        <f t="array" ref="Y23">IFERROR(INDEX($K$14:$Q$44,SMALL(IF(($P$14:$P$44&lt;$O$2),MATCH(ROW($K$14:$Q$44),ROW($K$14:$Q$44)),""),ROWS($S$14:Y23)),COLUMNS($A$1:G10)),"")</f>
        <v/>
      </c>
    </row>
    <row r="24" spans="1:25" x14ac:dyDescent="0.25">
      <c r="A24" s="34"/>
      <c r="B24" s="34"/>
      <c r="C24" s="34"/>
      <c r="D24" s="34"/>
      <c r="E24" s="34"/>
      <c r="F24" s="34"/>
      <c r="G24" s="34"/>
      <c r="H24" s="34"/>
      <c r="K24" s="34" t="str">
        <f t="array" ref="K24">IFERROR(INDEX(Main[],SMALL(IF((Main[PROGRESS]&lt;1),MATCH(ROW(Main[]),ROW(Main[])),""),ROWS(K$15:$K24)),COLUMNS($A$1:A10)),"")</f>
        <v/>
      </c>
      <c r="L24" s="34" t="str">
        <f t="array" ref="L24">IFERROR(INDEX(Main[],SMALL(IF((Main[PROGRESS]&lt;1),MATCH(ROW(Main[]),ROW(Main[])),""),ROWS($K$14:L24)),COLUMNS($A$1:B11)),"")</f>
        <v/>
      </c>
      <c r="M24" s="34" t="str">
        <f t="array" ref="M24">IFERROR(INDEX(Main[],SMALL(IF((Main[PROGRESS]&lt;1),MATCH(ROW(Main[]),ROW(Main[])),""),ROWS($K$14:M24)),COLUMNS($A$1:C11)),"")</f>
        <v/>
      </c>
      <c r="N24" s="34" t="str">
        <f t="array" ref="N24">IFERROR(INDEX(Main[],SMALL(IF((Main[PROGRESS]&lt;1),MATCH(ROW(Main[]),ROW(Main[])),""),ROWS($K$14:N24)),COLUMNS($A$1:D11)),"")</f>
        <v/>
      </c>
      <c r="O24" s="34" t="str">
        <f t="array" ref="O24">IFERROR(INDEX(Main[],SMALL(IF((Main[PROGRESS]&lt;1),MATCH(ROW(Main[]),ROW(Main[])),""),ROWS($K$14:O24)),COLUMNS($A$1:E11)),"")</f>
        <v/>
      </c>
      <c r="P24" s="34" t="str">
        <f t="array" ref="P24">IFERROR(INDEX(Main[],SMALL(IF((Main[PROGRESS]&lt;1),MATCH(ROW(Main[]),ROW(Main[])),""),ROWS($K$14:P24)),COLUMNS($A$1:F11)),"")</f>
        <v/>
      </c>
      <c r="Q24" s="34" t="str">
        <f t="array" ref="Q24">IFERROR(INDEX(Main[],SMALL(IF((Main[PROGRESS]&lt;1),MATCH(ROW(Main[]),ROW(Main[])),""),ROWS($K$14:Q24)),COLUMNS($A$1:G11)),"")</f>
        <v/>
      </c>
      <c r="R24" s="34"/>
      <c r="S24" s="6" t="str">
        <f t="array" ref="S24">IFERROR(INDEX($K$14:$Q$44,SMALL(IF(($P$14:$P$44&lt;$O$2),MATCH(ROW($K$14:$Q$44),ROW($K$14:$Q$44)),""),ROWS(S$14:$S24)),COLUMNS($A$1:A11)),"")</f>
        <v/>
      </c>
      <c r="T24" s="6" t="str">
        <f t="array" ref="T24">IFERROR(INDEX($K$14:$Q$44,SMALL(IF(($P$14:$P$44&lt;$O$2),MATCH(ROW($K$14:$Q$44),ROW($K$14:$Q$44)),""),ROWS($S$14:T24)),COLUMNS($A$1:B11)),"")</f>
        <v/>
      </c>
      <c r="U24" s="6" t="str">
        <f t="array" ref="U24">IFERROR(INDEX($K$14:$Q$44,SMALL(IF(($P$14:$P$44&lt;$O$2),MATCH(ROW($K$14:$Q$44),ROW($K$14:$Q$44)),""),ROWS($S$14:U24)),COLUMNS($A$1:C11)),"")</f>
        <v/>
      </c>
      <c r="V24" s="7" t="str">
        <f t="array" ref="V24">IFERROR(INDEX($K$14:$Q$44,SMALL(IF(($P$14:$P$44&lt;$O$2),MATCH(ROW($K$14:$Q$44),ROW($K$14:$Q$44)),""),ROWS($S$14:V24)),COLUMNS($A$1:D11)),"")</f>
        <v/>
      </c>
      <c r="W24" s="6" t="str">
        <f t="array" ref="W24">IFERROR(INDEX($K$14:$Q$44,SMALL(IF(($P$14:$P$44&lt;$O$2),MATCH(ROW($K$14:$Q$44),ROW($K$14:$Q$44)),""),ROWS($S$14:W24)),COLUMNS($A$1:E11)),"")</f>
        <v/>
      </c>
      <c r="X24" s="7" t="str">
        <f t="array" ref="X24">IFERROR(INDEX($K$14:$Q$44,SMALL(IF(($P$14:$P$44&lt;$O$2),MATCH(ROW($K$14:$Q$44),ROW($K$14:$Q$44)),""),ROWS($S$14:X24)),COLUMNS($A$1:F11)),"")</f>
        <v/>
      </c>
      <c r="Y24" s="22" t="str">
        <f t="array" ref="Y24">IFERROR(INDEX($K$14:$Q$44,SMALL(IF(($P$14:$P$44&lt;$O$2),MATCH(ROW($K$14:$Q$44),ROW($K$14:$Q$44)),""),ROWS($S$14:Y24)),COLUMNS($A$1:G11)),"")</f>
        <v/>
      </c>
    </row>
    <row r="25" spans="1:25" x14ac:dyDescent="0.25">
      <c r="A25" s="34"/>
      <c r="B25" s="34"/>
      <c r="C25" s="34"/>
      <c r="D25" s="34"/>
      <c r="E25" s="34"/>
      <c r="F25" s="34"/>
      <c r="G25" s="34"/>
      <c r="H25" s="34"/>
      <c r="K25" s="34" t="str">
        <f t="array" ref="K25">IFERROR(INDEX(Main[],SMALL(IF((Main[PROGRESS]&lt;1),MATCH(ROW(Main[]),ROW(Main[])),""),ROWS(K$15:$K25)),COLUMNS($A$1:A11)),"")</f>
        <v/>
      </c>
      <c r="L25" s="34" t="str">
        <f t="array" ref="L25">IFERROR(INDEX(Main[],SMALL(IF((Main[PROGRESS]&lt;1),MATCH(ROW(Main[]),ROW(Main[])),""),ROWS($K$14:L25)),COLUMNS($A$1:B12)),"")</f>
        <v/>
      </c>
      <c r="M25" s="34" t="str">
        <f t="array" ref="M25">IFERROR(INDEX(Main[],SMALL(IF((Main[PROGRESS]&lt;1),MATCH(ROW(Main[]),ROW(Main[])),""),ROWS($K$14:M25)),COLUMNS($A$1:C12)),"")</f>
        <v/>
      </c>
      <c r="N25" s="34" t="str">
        <f t="array" ref="N25">IFERROR(INDEX(Main[],SMALL(IF((Main[PROGRESS]&lt;1),MATCH(ROW(Main[]),ROW(Main[])),""),ROWS($K$14:N25)),COLUMNS($A$1:D12)),"")</f>
        <v/>
      </c>
      <c r="O25" s="34" t="str">
        <f t="array" ref="O25">IFERROR(INDEX(Main[],SMALL(IF((Main[PROGRESS]&lt;1),MATCH(ROW(Main[]),ROW(Main[])),""),ROWS($K$14:O25)),COLUMNS($A$1:E12)),"")</f>
        <v/>
      </c>
      <c r="P25" s="34" t="str">
        <f t="array" ref="P25">IFERROR(INDEX(Main[],SMALL(IF((Main[PROGRESS]&lt;1),MATCH(ROW(Main[]),ROW(Main[])),""),ROWS($K$14:P25)),COLUMNS($A$1:F12)),"")</f>
        <v/>
      </c>
      <c r="Q25" s="34" t="str">
        <f t="array" ref="Q25">IFERROR(INDEX(Main[],SMALL(IF((Main[PROGRESS]&lt;1),MATCH(ROW(Main[]),ROW(Main[])),""),ROWS($K$14:Q25)),COLUMNS($A$1:G12)),"")</f>
        <v/>
      </c>
      <c r="R25" s="34"/>
      <c r="S25" s="6" t="str">
        <f t="array" ref="S25">IFERROR(INDEX($K$14:$Q$44,SMALL(IF(($P$14:$P$44&lt;$O$2),MATCH(ROW($K$14:$Q$44),ROW($K$14:$Q$44)),""),ROWS(S$14:$S25)),COLUMNS($A$1:A12)),"")</f>
        <v/>
      </c>
      <c r="T25" s="6" t="str">
        <f t="array" ref="T25">IFERROR(INDEX($K$14:$Q$44,SMALL(IF(($P$14:$P$44&lt;$O$2),MATCH(ROW($K$14:$Q$44),ROW($K$14:$Q$44)),""),ROWS($S$14:T25)),COLUMNS($A$1:B12)),"")</f>
        <v/>
      </c>
      <c r="U25" s="6" t="str">
        <f t="array" ref="U25">IFERROR(INDEX($K$14:$Q$44,SMALL(IF(($P$14:$P$44&lt;$O$2),MATCH(ROW($K$14:$Q$44),ROW($K$14:$Q$44)),""),ROWS($S$14:U25)),COLUMNS($A$1:C12)),"")</f>
        <v/>
      </c>
      <c r="V25" s="7" t="str">
        <f t="array" ref="V25">IFERROR(INDEX($K$14:$Q$44,SMALL(IF(($P$14:$P$44&lt;$O$2),MATCH(ROW($K$14:$Q$44),ROW($K$14:$Q$44)),""),ROWS($S$14:V25)),COLUMNS($A$1:D12)),"")</f>
        <v/>
      </c>
      <c r="W25" s="6" t="str">
        <f t="array" ref="W25">IFERROR(INDEX($K$14:$Q$44,SMALL(IF(($P$14:$P$44&lt;$O$2),MATCH(ROW($K$14:$Q$44),ROW($K$14:$Q$44)),""),ROWS($S$14:W25)),COLUMNS($A$1:E12)),"")</f>
        <v/>
      </c>
      <c r="X25" s="7" t="str">
        <f t="array" ref="X25">IFERROR(INDEX($K$14:$Q$44,SMALL(IF(($P$14:$P$44&lt;$O$2),MATCH(ROW($K$14:$Q$44),ROW($K$14:$Q$44)),""),ROWS($S$14:X25)),COLUMNS($A$1:F12)),"")</f>
        <v/>
      </c>
      <c r="Y25" s="22" t="str">
        <f t="array" ref="Y25">IFERROR(INDEX($K$14:$Q$44,SMALL(IF(($P$14:$P$44&lt;$O$2),MATCH(ROW($K$14:$Q$44),ROW($K$14:$Q$44)),""),ROWS($S$14:Y25)),COLUMNS($A$1:G12)),"")</f>
        <v/>
      </c>
    </row>
    <row r="26" spans="1:25" x14ac:dyDescent="0.25">
      <c r="A26" s="34"/>
      <c r="B26" s="34"/>
      <c r="C26" s="34"/>
      <c r="D26" s="34"/>
      <c r="E26" s="34"/>
      <c r="F26" s="34"/>
      <c r="G26" s="34"/>
      <c r="H26" s="34"/>
      <c r="K26" s="34" t="str">
        <f t="array" ref="K26">IFERROR(INDEX(Main[],SMALL(IF((Main[PROGRESS]&lt;1),MATCH(ROW(Main[]),ROW(Main[])),""),ROWS(K$15:$K26)),COLUMNS($A$1:A12)),"")</f>
        <v/>
      </c>
      <c r="L26" s="34" t="str">
        <f t="array" ref="L26">IFERROR(INDEX(Main[],SMALL(IF((Main[PROGRESS]&lt;1),MATCH(ROW(Main[]),ROW(Main[])),""),ROWS($K$14:L26)),COLUMNS($A$1:B13)),"")</f>
        <v/>
      </c>
      <c r="M26" s="34" t="str">
        <f t="array" ref="M26">IFERROR(INDEX(Main[],SMALL(IF((Main[PROGRESS]&lt;1),MATCH(ROW(Main[]),ROW(Main[])),""),ROWS($K$14:M26)),COLUMNS($A$1:C13)),"")</f>
        <v/>
      </c>
      <c r="N26" s="34" t="str">
        <f t="array" ref="N26">IFERROR(INDEX(Main[],SMALL(IF((Main[PROGRESS]&lt;1),MATCH(ROW(Main[]),ROW(Main[])),""),ROWS($K$14:N26)),COLUMNS($A$1:D13)),"")</f>
        <v/>
      </c>
      <c r="O26" s="34" t="str">
        <f t="array" ref="O26">IFERROR(INDEX(Main[],SMALL(IF((Main[PROGRESS]&lt;1),MATCH(ROW(Main[]),ROW(Main[])),""),ROWS($K$14:O26)),COLUMNS($A$1:E13)),"")</f>
        <v/>
      </c>
      <c r="P26" s="34" t="str">
        <f t="array" ref="P26">IFERROR(INDEX(Main[],SMALL(IF((Main[PROGRESS]&lt;1),MATCH(ROW(Main[]),ROW(Main[])),""),ROWS($K$14:P26)),COLUMNS($A$1:F13)),"")</f>
        <v/>
      </c>
      <c r="Q26" s="34" t="str">
        <f t="array" ref="Q26">IFERROR(INDEX(Main[],SMALL(IF((Main[PROGRESS]&lt;1),MATCH(ROW(Main[]),ROW(Main[])),""),ROWS($K$14:Q26)),COLUMNS($A$1:G13)),"")</f>
        <v/>
      </c>
      <c r="R26" s="34"/>
      <c r="S26" s="6" t="str">
        <f t="array" ref="S26">IFERROR(INDEX($K$14:$Q$44,SMALL(IF(($P$14:$P$44&lt;$O$2),MATCH(ROW($K$14:$Q$44),ROW($K$14:$Q$44)),""),ROWS(S$14:$S26)),COLUMNS($A$1:A13)),"")</f>
        <v/>
      </c>
      <c r="T26" s="6" t="str">
        <f t="array" ref="T26">IFERROR(INDEX($K$14:$Q$44,SMALL(IF(($P$14:$P$44&lt;$O$2),MATCH(ROW($K$14:$Q$44),ROW($K$14:$Q$44)),""),ROWS($S$14:T26)),COLUMNS($A$1:B13)),"")</f>
        <v/>
      </c>
      <c r="U26" s="6" t="str">
        <f t="array" ref="U26">IFERROR(INDEX($K$14:$Q$44,SMALL(IF(($P$14:$P$44&lt;$O$2),MATCH(ROW($K$14:$Q$44),ROW($K$14:$Q$44)),""),ROWS($S$14:U26)),COLUMNS($A$1:C13)),"")</f>
        <v/>
      </c>
      <c r="V26" s="7" t="str">
        <f t="array" ref="V26">IFERROR(INDEX($K$14:$Q$44,SMALL(IF(($P$14:$P$44&lt;$O$2),MATCH(ROW($K$14:$Q$44),ROW($K$14:$Q$44)),""),ROWS($S$14:V26)),COLUMNS($A$1:D13)),"")</f>
        <v/>
      </c>
      <c r="W26" s="6" t="str">
        <f t="array" ref="W26">IFERROR(INDEX($K$14:$Q$44,SMALL(IF(($P$14:$P$44&lt;$O$2),MATCH(ROW($K$14:$Q$44),ROW($K$14:$Q$44)),""),ROWS($S$14:W26)),COLUMNS($A$1:E13)),"")</f>
        <v/>
      </c>
      <c r="X26" s="7" t="str">
        <f t="array" ref="X26">IFERROR(INDEX($K$14:$Q$44,SMALL(IF(($P$14:$P$44&lt;$O$2),MATCH(ROW($K$14:$Q$44),ROW($K$14:$Q$44)),""),ROWS($S$14:X26)),COLUMNS($A$1:F13)),"")</f>
        <v/>
      </c>
      <c r="Y26" s="22" t="str">
        <f t="array" ref="Y26">IFERROR(INDEX($K$14:$Q$44,SMALL(IF(($P$14:$P$44&lt;$O$2),MATCH(ROW($K$14:$Q$44),ROW($K$14:$Q$44)),""),ROWS($S$14:Y26)),COLUMNS($A$1:G13)),"")</f>
        <v/>
      </c>
    </row>
    <row r="27" spans="1:25" x14ac:dyDescent="0.25">
      <c r="A27" s="34"/>
      <c r="B27" s="34"/>
      <c r="C27" s="34"/>
      <c r="D27" s="34"/>
      <c r="E27" s="34"/>
      <c r="F27" s="34"/>
      <c r="G27" s="34"/>
      <c r="H27" s="34"/>
      <c r="K27" s="34" t="str">
        <f t="array" ref="K27">IFERROR(INDEX(Main[],SMALL(IF((Main[PROGRESS]&lt;1),MATCH(ROW(Main[]),ROW(Main[])),""),ROWS(K$15:$K27)),COLUMNS($A$1:A13)),"")</f>
        <v/>
      </c>
      <c r="L27" s="34"/>
      <c r="M27" s="34" t="str">
        <f t="array" ref="M27">IFERROR(INDEX(Main[],SMALL(IF((Main[PROGRESS]&lt;1),MATCH(ROW(Main[]),ROW(Main[])),""),ROWS($K$14:M27)),COLUMNS($A$1:C14)),"")</f>
        <v/>
      </c>
      <c r="N27" s="34" t="str">
        <f t="array" ref="N27">IFERROR(INDEX(Main[],SMALL(IF((Main[PROGRESS]&lt;1),MATCH(ROW(Main[]),ROW(Main[])),""),ROWS($K$14:N27)),COLUMNS($A$1:D14)),"")</f>
        <v/>
      </c>
      <c r="O27" s="34" t="str">
        <f t="array" ref="O27">IFERROR(INDEX(Main[],SMALL(IF((Main[PROGRESS]&lt;1),MATCH(ROW(Main[]),ROW(Main[])),""),ROWS($K$14:O27)),COLUMNS($A$1:E14)),"")</f>
        <v/>
      </c>
      <c r="P27" s="34" t="str">
        <f t="array" ref="P27">IFERROR(INDEX(Main[],SMALL(IF((Main[PROGRESS]&lt;1),MATCH(ROW(Main[]),ROW(Main[])),""),ROWS($K$14:P27)),COLUMNS($A$1:F14)),"")</f>
        <v/>
      </c>
      <c r="Q27" s="34" t="str">
        <f t="array" ref="Q27">IFERROR(INDEX(Main[],SMALL(IF((Main[PROGRESS]&lt;1),MATCH(ROW(Main[]),ROW(Main[])),""),ROWS($K$14:Q27)),COLUMNS($A$1:G14)),"")</f>
        <v/>
      </c>
      <c r="R27" s="34"/>
      <c r="S27" s="6" t="str">
        <f t="array" ref="S27">IFERROR(INDEX($K$14:$Q$44,SMALL(IF(($P$14:$P$44&lt;$O$2),MATCH(ROW($K$14:$Q$44),ROW($K$14:$Q$44)),""),ROWS(S$14:$S27)),COLUMNS($A$1:A14)),"")</f>
        <v/>
      </c>
      <c r="T27" s="6" t="str">
        <f t="array" ref="T27">IFERROR(INDEX($K$14:$Q$44,SMALL(IF(($P$14:$P$44&lt;$O$2),MATCH(ROW($K$14:$Q$44),ROW($K$14:$Q$44)),""),ROWS($S$14:T27)),COLUMNS($A$1:B14)),"")</f>
        <v/>
      </c>
      <c r="U27" s="6" t="str">
        <f t="array" ref="U27">IFERROR(INDEX($K$14:$Q$44,SMALL(IF(($P$14:$P$44&lt;$O$2),MATCH(ROW($K$14:$Q$44),ROW($K$14:$Q$44)),""),ROWS($S$14:U27)),COLUMNS($A$1:C14)),"")</f>
        <v/>
      </c>
      <c r="V27" s="7" t="str">
        <f t="array" ref="V27">IFERROR(INDEX($K$14:$Q$44,SMALL(IF(($P$14:$P$44&lt;$O$2),MATCH(ROW($K$14:$Q$44),ROW($K$14:$Q$44)),""),ROWS($S$14:V27)),COLUMNS($A$1:D14)),"")</f>
        <v/>
      </c>
      <c r="W27" s="6" t="str">
        <f t="array" ref="W27">IFERROR(INDEX($K$14:$Q$44,SMALL(IF(($P$14:$P$44&lt;$O$2),MATCH(ROW($K$14:$Q$44),ROW($K$14:$Q$44)),""),ROWS($S$14:W27)),COLUMNS($A$1:E14)),"")</f>
        <v/>
      </c>
      <c r="X27" s="7" t="str">
        <f t="array" ref="X27">IFERROR(INDEX($K$14:$Q$44,SMALL(IF(($P$14:$P$44&lt;$O$2),MATCH(ROW($K$14:$Q$44),ROW($K$14:$Q$44)),""),ROWS($S$14:X27)),COLUMNS($A$1:F14)),"")</f>
        <v/>
      </c>
      <c r="Y27" s="22" t="str">
        <f t="array" ref="Y27">IFERROR(INDEX($K$14:$Q$44,SMALL(IF(($P$14:$P$44&lt;$O$2),MATCH(ROW($K$14:$Q$44),ROW($K$14:$Q$44)),""),ROWS($S$14:Y27)),COLUMNS($A$1:G14)),"")</f>
        <v/>
      </c>
    </row>
    <row r="28" spans="1:25" x14ac:dyDescent="0.25">
      <c r="A28" s="34"/>
      <c r="B28" s="34"/>
      <c r="C28" s="34"/>
      <c r="D28" s="34"/>
      <c r="E28" s="34"/>
      <c r="F28" s="34"/>
      <c r="G28" s="34"/>
      <c r="H28" s="34"/>
      <c r="K28" s="34" t="str">
        <f t="array" ref="K28">IFERROR(INDEX(Main[],SMALL(IF((Main[PROGRESS]&lt;1),MATCH(ROW(Main[]),ROW(Main[])),""),ROWS(K$15:$K28)),COLUMNS($A$1:A14)),"")</f>
        <v/>
      </c>
      <c r="L28" s="34" t="str">
        <f t="array" ref="L28">IFERROR(INDEX(Main[],SMALL(IF((Main[PROGRESS]&lt;1),MATCH(ROW(Main[]),ROW(Main[])),""),ROWS($K$14:L28)),COLUMNS($A$1:B15)),"")</f>
        <v/>
      </c>
      <c r="M28" s="34" t="str">
        <f t="array" ref="M28">IFERROR(INDEX(Main[],SMALL(IF((Main[PROGRESS]&lt;1),MATCH(ROW(Main[]),ROW(Main[])),""),ROWS($K$14:M28)),COLUMNS($A$1:C15)),"")</f>
        <v/>
      </c>
      <c r="N28" s="34" t="str">
        <f t="array" ref="N28">IFERROR(INDEX(Main[],SMALL(IF((Main[PROGRESS]&lt;1),MATCH(ROW(Main[]),ROW(Main[])),""),ROWS($K$14:N28)),COLUMNS($A$1:D15)),"")</f>
        <v/>
      </c>
      <c r="O28" s="34" t="str">
        <f t="array" ref="O28">IFERROR(INDEX(Main[],SMALL(IF((Main[PROGRESS]&lt;1),MATCH(ROW(Main[]),ROW(Main[])),""),ROWS($K$14:O28)),COLUMNS($A$1:E15)),"")</f>
        <v/>
      </c>
      <c r="P28" s="34" t="str">
        <f t="array" ref="P28">IFERROR(INDEX(Main[],SMALL(IF((Main[PROGRESS]&lt;1),MATCH(ROW(Main[]),ROW(Main[])),""),ROWS($K$14:P28)),COLUMNS($A$1:F15)),"")</f>
        <v/>
      </c>
      <c r="Q28" s="34" t="str">
        <f t="array" ref="Q28">IFERROR(INDEX(Main[],SMALL(IF((Main[PROGRESS]&lt;1),MATCH(ROW(Main[]),ROW(Main[])),""),ROWS($K$14:Q28)),COLUMNS($A$1:G15)),"")</f>
        <v/>
      </c>
      <c r="R28" s="34"/>
      <c r="S28" s="34"/>
      <c r="T28" s="34"/>
      <c r="U28" s="34"/>
      <c r="V28" s="34"/>
      <c r="W28" s="34"/>
      <c r="X28" s="34"/>
      <c r="Y28" s="34"/>
    </row>
    <row r="29" spans="1:25" x14ac:dyDescent="0.25">
      <c r="A29" s="34"/>
      <c r="B29" s="34"/>
      <c r="C29" s="34"/>
      <c r="D29" s="34"/>
      <c r="E29" s="34"/>
      <c r="F29" s="34"/>
      <c r="G29" s="34"/>
      <c r="H29" s="34"/>
      <c r="K29" s="34" t="str">
        <f t="array" ref="K29">IFERROR(INDEX(Main[],SMALL(IF((Main[PROGRESS]&lt;1),MATCH(ROW(Main[]),ROW(Main[])),""),ROWS(K$15:$K29)),COLUMNS($A$1:A15)),"")</f>
        <v/>
      </c>
      <c r="L29" s="34" t="str">
        <f t="array" ref="L29">IFERROR(INDEX(Main[],SMALL(IF((Main[PROGRESS]&lt;1),MATCH(ROW(Main[]),ROW(Main[])),""),ROWS($K$14:L29)),COLUMNS($A$1:B16)),"")</f>
        <v/>
      </c>
      <c r="M29" s="34" t="str">
        <f t="array" ref="M29">IFERROR(INDEX(Main[],SMALL(IF((Main[PROGRESS]&lt;1),MATCH(ROW(Main[]),ROW(Main[])),""),ROWS($K$14:M29)),COLUMNS($A$1:C16)),"")</f>
        <v/>
      </c>
      <c r="N29" s="34" t="str">
        <f t="array" ref="N29">IFERROR(INDEX(Main[],SMALL(IF((Main[PROGRESS]&lt;1),MATCH(ROW(Main[]),ROW(Main[])),""),ROWS($K$14:N29)),COLUMNS($A$1:D16)),"")</f>
        <v/>
      </c>
      <c r="O29" s="34" t="str">
        <f t="array" ref="O29">IFERROR(INDEX(Main[],SMALL(IF((Main[PROGRESS]&lt;1),MATCH(ROW(Main[]),ROW(Main[])),""),ROWS($K$14:O29)),COLUMNS($A$1:E16)),"")</f>
        <v/>
      </c>
      <c r="P29" s="34" t="str">
        <f t="array" ref="P29">IFERROR(INDEX(Main[],SMALL(IF((Main[PROGRESS]&lt;1),MATCH(ROW(Main[]),ROW(Main[])),""),ROWS($K$14:P29)),COLUMNS($A$1:F16)),"")</f>
        <v/>
      </c>
      <c r="Q29" s="34" t="str">
        <f t="array" ref="Q29">IFERROR(INDEX(Main[],SMALL(IF((Main[PROGRESS]&lt;1),MATCH(ROW(Main[]),ROW(Main[])),""),ROWS($K$14:Q29)),COLUMNS($A$1:G16)),"")</f>
        <v/>
      </c>
      <c r="R29" s="34"/>
      <c r="S29" s="34"/>
      <c r="T29" s="34"/>
      <c r="U29" s="34"/>
      <c r="V29" s="34"/>
      <c r="W29" s="34"/>
      <c r="X29" s="34"/>
      <c r="Y29" s="34"/>
    </row>
    <row r="30" spans="1:25" x14ac:dyDescent="0.25">
      <c r="A30" s="34"/>
      <c r="B30" s="34"/>
      <c r="C30" s="34"/>
      <c r="D30" s="34"/>
      <c r="E30" s="34"/>
      <c r="F30" s="34"/>
      <c r="G30" s="34"/>
      <c r="H30" s="34"/>
      <c r="K30" s="34" t="str">
        <f t="array" ref="K30">IFERROR(INDEX(Main[],SMALL(IF((Main[PROGRESS]&lt;1),MATCH(ROW(Main[]),ROW(Main[])),""),ROWS(K$15:$K30)),COLUMNS($A$1:A16)),"")</f>
        <v/>
      </c>
      <c r="L30" s="34" t="str">
        <f t="array" ref="L30">IFERROR(INDEX(Main[],SMALL(IF((Main[PROGRESS]&lt;1),MATCH(ROW(Main[]),ROW(Main[])),""),ROWS($K$14:L30)),COLUMNS($A$1:B17)),"")</f>
        <v/>
      </c>
      <c r="M30" s="34" t="str">
        <f t="array" ref="M30">IFERROR(INDEX(Main[],SMALL(IF((Main[PROGRESS]&lt;1),MATCH(ROW(Main[]),ROW(Main[])),""),ROWS($K$14:M30)),COLUMNS($A$1:C17)),"")</f>
        <v/>
      </c>
      <c r="N30" s="34" t="str">
        <f t="array" ref="N30">IFERROR(INDEX(Main[],SMALL(IF((Main[PROGRESS]&lt;1),MATCH(ROW(Main[]),ROW(Main[])),""),ROWS($K$14:N30)),COLUMNS($A$1:D17)),"")</f>
        <v/>
      </c>
      <c r="O30" s="34" t="str">
        <f t="array" ref="O30">IFERROR(INDEX(Main[],SMALL(IF((Main[PROGRESS]&lt;1),MATCH(ROW(Main[]),ROW(Main[])),""),ROWS($K$14:O30)),COLUMNS($A$1:E17)),"")</f>
        <v/>
      </c>
      <c r="P30" s="34" t="str">
        <f t="array" ref="P30">IFERROR(INDEX(Main[],SMALL(IF((Main[PROGRESS]&lt;1),MATCH(ROW(Main[]),ROW(Main[])),""),ROWS($K$14:P30)),COLUMNS($A$1:F17)),"")</f>
        <v/>
      </c>
      <c r="Q30" s="34" t="str">
        <f t="array" ref="Q30">IFERROR(INDEX(Main[],SMALL(IF((Main[PROGRESS]&lt;1),MATCH(ROW(Main[]),ROW(Main[])),""),ROWS($K$14:Q30)),COLUMNS($A$1:G17)),"")</f>
        <v/>
      </c>
      <c r="R30" s="34"/>
      <c r="S30" s="34"/>
      <c r="T30" s="34"/>
      <c r="U30" s="34"/>
      <c r="V30" s="34"/>
      <c r="W30" s="34"/>
      <c r="X30" s="34"/>
      <c r="Y30" s="34"/>
    </row>
    <row r="31" spans="1:25" x14ac:dyDescent="0.25">
      <c r="A31" s="34"/>
      <c r="B31" s="34"/>
      <c r="C31" s="34"/>
      <c r="D31" s="34"/>
      <c r="E31" s="34"/>
      <c r="F31" s="34"/>
      <c r="G31" s="34"/>
      <c r="H31" s="34"/>
      <c r="K31" s="34" t="str">
        <f t="array" ref="K31">IFERROR(INDEX(Main[],SMALL(IF((Main[PROGRESS]&lt;1),MATCH(ROW(Main[]),ROW(Main[])),""),ROWS(K$15:$K31)),COLUMNS($A$1:A17)),"")</f>
        <v/>
      </c>
      <c r="L31" s="34" t="str">
        <f t="array" ref="L31">IFERROR(INDEX(Main[],SMALL(IF((Main[PROGRESS]&lt;1),MATCH(ROW(Main[]),ROW(Main[])),""),ROWS($K$14:L31)),COLUMNS($A$1:B18)),"")</f>
        <v/>
      </c>
      <c r="M31" s="34" t="str">
        <f t="array" ref="M31">IFERROR(INDEX(Main[],SMALL(IF((Main[PROGRESS]&lt;1),MATCH(ROW(Main[]),ROW(Main[])),""),ROWS($K$14:M31)),COLUMNS($A$1:C18)),"")</f>
        <v/>
      </c>
      <c r="N31" s="34" t="str">
        <f t="array" ref="N31">IFERROR(INDEX(Main[],SMALL(IF((Main[PROGRESS]&lt;1),MATCH(ROW(Main[]),ROW(Main[])),""),ROWS($K$14:N31)),COLUMNS($A$1:D18)),"")</f>
        <v/>
      </c>
      <c r="O31" s="34" t="str">
        <f t="array" ref="O31">IFERROR(INDEX(Main[],SMALL(IF((Main[PROGRESS]&lt;1),MATCH(ROW(Main[]),ROW(Main[])),""),ROWS($K$14:O31)),COLUMNS($A$1:E18)),"")</f>
        <v/>
      </c>
      <c r="P31" s="34" t="str">
        <f t="array" ref="P31">IFERROR(INDEX(Main[],SMALL(IF((Main[PROGRESS]&lt;1),MATCH(ROW(Main[]),ROW(Main[])),""),ROWS($K$14:P31)),COLUMNS($A$1:F18)),"")</f>
        <v/>
      </c>
      <c r="Q31" s="34" t="str">
        <f t="array" ref="Q31">IFERROR(INDEX(Main[],SMALL(IF((Main[PROGRESS]&lt;1),MATCH(ROW(Main[]),ROW(Main[])),""),ROWS($K$14:Q31)),COLUMNS($A$1:G18)),"")</f>
        <v/>
      </c>
      <c r="R31" s="34"/>
      <c r="S31" s="34"/>
      <c r="T31" s="34"/>
      <c r="U31" s="34"/>
      <c r="V31" s="34"/>
      <c r="W31" s="34"/>
      <c r="X31" s="34"/>
      <c r="Y31" s="34"/>
    </row>
    <row r="32" spans="1:25" x14ac:dyDescent="0.25">
      <c r="A32" s="34"/>
      <c r="B32" s="34"/>
      <c r="C32" s="34"/>
      <c r="D32" s="34"/>
      <c r="E32" s="34"/>
      <c r="F32" s="34"/>
      <c r="G32" s="34"/>
      <c r="H32" s="34"/>
      <c r="K32" s="34" t="str">
        <f t="array" ref="K32">IFERROR(INDEX(Main[],SMALL(IF((Main[PROGRESS]&lt;1),MATCH(ROW(Main[]),ROW(Main[])),""),ROWS(K$15:$K32)),COLUMNS($A$1:A18)),"")</f>
        <v/>
      </c>
      <c r="L32" s="34" t="str">
        <f t="array" ref="L32">IFERROR(INDEX(Main[],SMALL(IF((Main[PROGRESS]&lt;1),MATCH(ROW(Main[]),ROW(Main[])),""),ROWS($K$14:L32)),COLUMNS($A$1:B19)),"")</f>
        <v/>
      </c>
      <c r="M32" s="34" t="str">
        <f t="array" ref="M32">IFERROR(INDEX(Main[],SMALL(IF((Main[PROGRESS]&lt;1),MATCH(ROW(Main[]),ROW(Main[])),""),ROWS($K$14:M32)),COLUMNS($A$1:C19)),"")</f>
        <v/>
      </c>
      <c r="N32" s="34" t="str">
        <f t="array" ref="N32">IFERROR(INDEX(Main[],SMALL(IF((Main[PROGRESS]&lt;1),MATCH(ROW(Main[]),ROW(Main[])),""),ROWS($K$14:N32)),COLUMNS($A$1:D19)),"")</f>
        <v/>
      </c>
      <c r="O32" s="34" t="str">
        <f t="array" ref="O32">IFERROR(INDEX(Main[],SMALL(IF((Main[PROGRESS]&lt;1),MATCH(ROW(Main[]),ROW(Main[])),""),ROWS($K$14:O32)),COLUMNS($A$1:E19)),"")</f>
        <v/>
      </c>
      <c r="P32" s="34" t="str">
        <f t="array" ref="P32">IFERROR(INDEX(Main[],SMALL(IF((Main[PROGRESS]&lt;1),MATCH(ROW(Main[]),ROW(Main[])),""),ROWS($K$14:P32)),COLUMNS($A$1:F19)),"")</f>
        <v/>
      </c>
      <c r="Q32" s="34" t="str">
        <f t="array" ref="Q32">IFERROR(INDEX(Main[],SMALL(IF((Main[PROGRESS]&lt;1),MATCH(ROW(Main[]),ROW(Main[])),""),ROWS($K$14:Q32)),COLUMNS($A$1:G19)),"")</f>
        <v/>
      </c>
      <c r="R32" s="34"/>
      <c r="S32" s="34"/>
      <c r="T32" s="34"/>
      <c r="U32" s="34"/>
      <c r="V32" s="34"/>
      <c r="W32" s="34"/>
      <c r="X32" s="34"/>
      <c r="Y32" s="34"/>
    </row>
    <row r="33" spans="1:25" x14ac:dyDescent="0.25">
      <c r="A33" s="34"/>
      <c r="B33" s="34"/>
      <c r="C33" s="34"/>
      <c r="D33" s="34"/>
      <c r="E33" s="34"/>
      <c r="F33" s="34"/>
      <c r="G33" s="34"/>
      <c r="H33" s="34"/>
      <c r="K33" s="34" t="str">
        <f t="array" ref="K33">IFERROR(INDEX(Main[],SMALL(IF((Main[PROGRESS]&lt;1),MATCH(ROW(Main[]),ROW(Main[])),""),ROWS(K$15:$K33)),COLUMNS($A$1:A19)),"")</f>
        <v/>
      </c>
      <c r="L33" s="34" t="str">
        <f t="array" ref="L33">IFERROR(INDEX(Main[],SMALL(IF((Main[PROGRESS]&lt;1),MATCH(ROW(Main[]),ROW(Main[])),""),ROWS($K$14:L33)),COLUMNS($A$1:B20)),"")</f>
        <v/>
      </c>
      <c r="M33" s="34" t="str">
        <f t="array" ref="M33">IFERROR(INDEX(Main[],SMALL(IF((Main[PROGRESS]&lt;1),MATCH(ROW(Main[]),ROW(Main[])),""),ROWS($K$14:M33)),COLUMNS($A$1:C20)),"")</f>
        <v/>
      </c>
      <c r="N33" s="34" t="str">
        <f t="array" ref="N33">IFERROR(INDEX(Main[],SMALL(IF((Main[PROGRESS]&lt;1),MATCH(ROW(Main[]),ROW(Main[])),""),ROWS($K$14:N33)),COLUMNS($A$1:D20)),"")</f>
        <v/>
      </c>
      <c r="O33" s="34" t="str">
        <f t="array" ref="O33">IFERROR(INDEX(Main[],SMALL(IF((Main[PROGRESS]&lt;1),MATCH(ROW(Main[]),ROW(Main[])),""),ROWS($K$14:O33)),COLUMNS($A$1:E20)),"")</f>
        <v/>
      </c>
      <c r="P33" s="34" t="str">
        <f t="array" ref="P33">IFERROR(INDEX(Main[],SMALL(IF((Main[PROGRESS]&lt;1),MATCH(ROW(Main[]),ROW(Main[])),""),ROWS($K$14:P33)),COLUMNS($A$1:F20)),"")</f>
        <v/>
      </c>
      <c r="Q33" s="34" t="str">
        <f t="array" ref="Q33">IFERROR(INDEX(Main[],SMALL(IF((Main[PROGRESS]&lt;1),MATCH(ROW(Main[]),ROW(Main[])),""),ROWS($K$14:Q33)),COLUMNS($A$1:G20)),"")</f>
        <v/>
      </c>
      <c r="R33" s="34"/>
      <c r="S33" s="34"/>
      <c r="T33" s="34"/>
      <c r="U33" s="34"/>
      <c r="V33" s="34"/>
      <c r="W33" s="34"/>
      <c r="X33" s="34"/>
      <c r="Y33" s="34"/>
    </row>
    <row r="34" spans="1:25" x14ac:dyDescent="0.25">
      <c r="A34" s="34"/>
      <c r="B34" s="34"/>
      <c r="C34" s="34"/>
      <c r="D34" s="34"/>
      <c r="E34" s="34"/>
      <c r="F34" s="34"/>
      <c r="G34" s="34"/>
      <c r="H34" s="34"/>
      <c r="K34" s="34" t="str">
        <f t="array" ref="K34">IFERROR(INDEX(Main[],SMALL(IF((Main[PROGRESS]&lt;1),MATCH(ROW(Main[]),ROW(Main[])),""),ROWS(K$15:$K34)),COLUMNS($A$1:A20)),"")</f>
        <v/>
      </c>
      <c r="L34" s="34" t="str">
        <f t="array" ref="L34">IFERROR(INDEX(Main[],SMALL(IF((Main[PROGRESS]&lt;1),MATCH(ROW(Main[]),ROW(Main[])),""),ROWS($K$14:L34)),COLUMNS($A$1:B21)),"")</f>
        <v/>
      </c>
      <c r="M34" s="34" t="str">
        <f t="array" ref="M34">IFERROR(INDEX(Main[],SMALL(IF((Main[PROGRESS]&lt;1),MATCH(ROW(Main[]),ROW(Main[])),""),ROWS($K$14:M34)),COLUMNS($A$1:C21)),"")</f>
        <v/>
      </c>
      <c r="N34" s="34" t="str">
        <f t="array" ref="N34">IFERROR(INDEX(Main[],SMALL(IF((Main[PROGRESS]&lt;1),MATCH(ROW(Main[]),ROW(Main[])),""),ROWS($K$14:N34)),COLUMNS($A$1:D21)),"")</f>
        <v/>
      </c>
      <c r="O34" s="34" t="str">
        <f t="array" ref="O34">IFERROR(INDEX(Main[],SMALL(IF((Main[PROGRESS]&lt;1),MATCH(ROW(Main[]),ROW(Main[])),""),ROWS($K$14:O34)),COLUMNS($A$1:E21)),"")</f>
        <v/>
      </c>
      <c r="P34" s="34" t="str">
        <f t="array" ref="P34">IFERROR(INDEX(Main[],SMALL(IF((Main[PROGRESS]&lt;1),MATCH(ROW(Main[]),ROW(Main[])),""),ROWS($K$14:P34)),COLUMNS($A$1:F21)),"")</f>
        <v/>
      </c>
      <c r="Q34" s="34" t="str">
        <f t="array" ref="Q34">IFERROR(INDEX(Main[],SMALL(IF((Main[PROGRESS]&lt;1),MATCH(ROW(Main[]),ROW(Main[])),""),ROWS($K$14:Q34)),COLUMNS($A$1:G21)),"")</f>
        <v/>
      </c>
      <c r="R34" s="34"/>
      <c r="S34" s="34"/>
      <c r="T34" s="34"/>
      <c r="U34" s="34"/>
      <c r="V34" s="34"/>
      <c r="W34" s="34"/>
      <c r="X34" s="34"/>
      <c r="Y34" s="34"/>
    </row>
    <row r="35" spans="1:25" x14ac:dyDescent="0.25">
      <c r="A35" s="34"/>
      <c r="B35" s="34"/>
      <c r="C35" s="34"/>
      <c r="D35" s="34"/>
      <c r="E35" s="34"/>
      <c r="F35" s="34"/>
      <c r="G35" s="34"/>
      <c r="H35" s="34"/>
      <c r="K35" s="34" t="str">
        <f t="array" ref="K35">IFERROR(INDEX(Main[],SMALL(IF((Main[PROGRESS]&lt;1),MATCH(ROW(Main[]),ROW(Main[])),""),ROWS(K$15:$K35)),COLUMNS($A$1:A21)),"")</f>
        <v/>
      </c>
      <c r="L35" s="34" t="str">
        <f t="array" ref="L35">IFERROR(INDEX(Main[],SMALL(IF((Main[PROGRESS]&lt;1),MATCH(ROW(Main[]),ROW(Main[])),""),ROWS($K$14:L35)),COLUMNS($A$1:B22)),"")</f>
        <v/>
      </c>
      <c r="M35" s="34" t="str">
        <f t="array" ref="M35">IFERROR(INDEX(Main[],SMALL(IF((Main[PROGRESS]&lt;1),MATCH(ROW(Main[]),ROW(Main[])),""),ROWS($K$14:M35)),COLUMNS($A$1:C22)),"")</f>
        <v/>
      </c>
      <c r="N35" s="34" t="str">
        <f t="array" ref="N35">IFERROR(INDEX(Main[],SMALL(IF((Main[PROGRESS]&lt;1),MATCH(ROW(Main[]),ROW(Main[])),""),ROWS($K$14:N35)),COLUMNS($A$1:D22)),"")</f>
        <v/>
      </c>
      <c r="O35" s="34" t="str">
        <f t="array" ref="O35">IFERROR(INDEX(Main[],SMALL(IF((Main[PROGRESS]&lt;1),MATCH(ROW(Main[]),ROW(Main[])),""),ROWS($K$14:O35)),COLUMNS($A$1:E22)),"")</f>
        <v/>
      </c>
      <c r="P35" s="34" t="str">
        <f t="array" ref="P35">IFERROR(INDEX(Main[],SMALL(IF((Main[PROGRESS]&lt;1),MATCH(ROW(Main[]),ROW(Main[])),""),ROWS($K$14:P35)),COLUMNS($A$1:F22)),"")</f>
        <v/>
      </c>
      <c r="Q35" s="34" t="str">
        <f t="array" ref="Q35">IFERROR(INDEX(Main[],SMALL(IF((Main[PROGRESS]&lt;1),MATCH(ROW(Main[]),ROW(Main[])),""),ROWS($K$14:Q35)),COLUMNS($A$1:G22)),"")</f>
        <v/>
      </c>
      <c r="R35" s="34"/>
      <c r="S35" s="34"/>
      <c r="T35" s="34"/>
      <c r="U35" s="34"/>
      <c r="V35" s="34"/>
      <c r="W35" s="34"/>
      <c r="X35" s="34"/>
      <c r="Y35" s="34"/>
    </row>
    <row r="36" spans="1:25" x14ac:dyDescent="0.25">
      <c r="A36" s="34"/>
      <c r="B36" s="34"/>
      <c r="C36" s="34"/>
      <c r="D36" s="34"/>
      <c r="E36" s="34"/>
      <c r="F36" s="34"/>
      <c r="G36" s="34"/>
      <c r="H36" s="34"/>
      <c r="K36" s="34" t="str">
        <f t="array" ref="K36">IFERROR(INDEX(Main[],SMALL(IF((Main[PROGRESS]&lt;1),MATCH(ROW(Main[]),ROW(Main[])),""),ROWS(K$15:$K36)),COLUMNS($A$1:A22)),"")</f>
        <v/>
      </c>
      <c r="L36" s="34" t="str">
        <f t="array" ref="L36">IFERROR(INDEX(Main[],SMALL(IF((Main[PROGRESS]&lt;1),MATCH(ROW(Main[]),ROW(Main[])),""),ROWS($K$14:L36)),COLUMNS($A$1:B23)),"")</f>
        <v/>
      </c>
      <c r="M36" s="34" t="str">
        <f t="array" ref="M36">IFERROR(INDEX(Main[],SMALL(IF((Main[PROGRESS]&lt;1),MATCH(ROW(Main[]),ROW(Main[])),""),ROWS($K$14:M36)),COLUMNS($A$1:C23)),"")</f>
        <v/>
      </c>
      <c r="N36" s="34" t="str">
        <f t="array" ref="N36">IFERROR(INDEX(Main[],SMALL(IF((Main[PROGRESS]&lt;1),MATCH(ROW(Main[]),ROW(Main[])),""),ROWS($K$14:N36)),COLUMNS($A$1:D23)),"")</f>
        <v/>
      </c>
      <c r="O36" s="34" t="str">
        <f t="array" ref="O36">IFERROR(INDEX(Main[],SMALL(IF((Main[PROGRESS]&lt;1),MATCH(ROW(Main[]),ROW(Main[])),""),ROWS($K$14:O36)),COLUMNS($A$1:E23)),"")</f>
        <v/>
      </c>
      <c r="P36" s="34" t="str">
        <f t="array" ref="P36">IFERROR(INDEX(Main[],SMALL(IF((Main[PROGRESS]&lt;1),MATCH(ROW(Main[]),ROW(Main[])),""),ROWS($K$14:P36)),COLUMNS($A$1:F23)),"")</f>
        <v/>
      </c>
      <c r="Q36" s="34" t="str">
        <f t="array" ref="Q36">IFERROR(INDEX(Main[],SMALL(IF((Main[PROGRESS]&lt;1),MATCH(ROW(Main[]),ROW(Main[])),""),ROWS($K$14:Q36)),COLUMNS($A$1:G23)),"")</f>
        <v/>
      </c>
      <c r="R36" s="34"/>
      <c r="S36" s="34"/>
      <c r="T36" s="34"/>
      <c r="U36" s="34"/>
      <c r="V36" s="34"/>
      <c r="W36" s="34"/>
      <c r="X36" s="34"/>
      <c r="Y36" s="34"/>
    </row>
    <row r="37" spans="1:25" x14ac:dyDescent="0.25">
      <c r="A37" s="34"/>
      <c r="B37" s="34"/>
      <c r="C37" s="34"/>
      <c r="D37" s="34"/>
      <c r="E37" s="34"/>
      <c r="F37" s="34"/>
      <c r="G37" s="34"/>
      <c r="H37" s="34"/>
      <c r="K37" s="34" t="str">
        <f t="array" ref="K37">IFERROR(INDEX(Main[],SMALL(IF((Main[PROGRESS]&lt;1),MATCH(ROW(Main[]),ROW(Main[])),""),ROWS(K$15:$K37)),COLUMNS($A$1:A23)),"")</f>
        <v/>
      </c>
      <c r="L37" s="34" t="str">
        <f t="array" ref="L37">IFERROR(INDEX(Main[],SMALL(IF((Main[PROGRESS]&lt;1),MATCH(ROW(Main[]),ROW(Main[])),""),ROWS($K$14:L37)),COLUMNS($A$1:B24)),"")</f>
        <v/>
      </c>
      <c r="M37" s="34" t="str">
        <f t="array" ref="M37">IFERROR(INDEX(Main[],SMALL(IF((Main[PROGRESS]&lt;1),MATCH(ROW(Main[]),ROW(Main[])),""),ROWS($K$14:M37)),COLUMNS($A$1:C24)),"")</f>
        <v/>
      </c>
      <c r="N37" s="34" t="str">
        <f t="array" ref="N37">IFERROR(INDEX(Main[],SMALL(IF((Main[PROGRESS]&lt;1),MATCH(ROW(Main[]),ROW(Main[])),""),ROWS($K$14:N37)),COLUMNS($A$1:D24)),"")</f>
        <v/>
      </c>
      <c r="O37" s="34" t="str">
        <f t="array" ref="O37">IFERROR(INDEX(Main[],SMALL(IF((Main[PROGRESS]&lt;1),MATCH(ROW(Main[]),ROW(Main[])),""),ROWS($K$14:O37)),COLUMNS($A$1:E24)),"")</f>
        <v/>
      </c>
      <c r="P37" s="34" t="str">
        <f t="array" ref="P37">IFERROR(INDEX(Main[],SMALL(IF((Main[PROGRESS]&lt;1),MATCH(ROW(Main[]),ROW(Main[])),""),ROWS($K$14:P37)),COLUMNS($A$1:F24)),"")</f>
        <v/>
      </c>
      <c r="Q37" s="34" t="str">
        <f t="array" ref="Q37">IFERROR(INDEX(Main[],SMALL(IF((Main[PROGRESS]&lt;1),MATCH(ROW(Main[]),ROW(Main[])),""),ROWS($K$14:Q37)),COLUMNS($A$1:G24)),"")</f>
        <v/>
      </c>
      <c r="R37" s="34"/>
      <c r="S37" s="34"/>
      <c r="T37" s="34"/>
      <c r="U37" s="34"/>
      <c r="V37" s="34"/>
      <c r="W37" s="34"/>
      <c r="X37" s="34"/>
      <c r="Y37" s="34"/>
    </row>
    <row r="38" spans="1:25" x14ac:dyDescent="0.25">
      <c r="A38" s="34"/>
      <c r="B38" s="34"/>
      <c r="C38" s="34"/>
      <c r="D38" s="34"/>
      <c r="E38" s="34"/>
      <c r="F38" s="34"/>
      <c r="G38" s="34"/>
      <c r="H38" s="34"/>
      <c r="K38" s="34" t="str">
        <f t="array" ref="K38">IFERROR(INDEX(Main[],SMALL(IF((Main[PROGRESS]&lt;1),MATCH(ROW(Main[]),ROW(Main[])),""),ROWS(K$15:$K38)),COLUMNS($A$1:A24)),"")</f>
        <v/>
      </c>
      <c r="L38" s="34" t="str">
        <f t="array" ref="L38">IFERROR(INDEX(Main[],SMALL(IF((Main[PROGRESS]&lt;1),MATCH(ROW(Main[]),ROW(Main[])),""),ROWS($K$14:L38)),COLUMNS($A$1:B25)),"")</f>
        <v/>
      </c>
      <c r="M38" s="34" t="str">
        <f t="array" ref="M38">IFERROR(INDEX(Main[],SMALL(IF((Main[PROGRESS]&lt;1),MATCH(ROW(Main[]),ROW(Main[])),""),ROWS($K$14:M38)),COLUMNS($A$1:C25)),"")</f>
        <v/>
      </c>
      <c r="N38" s="34" t="str">
        <f t="array" ref="N38">IFERROR(INDEX(Main[],SMALL(IF((Main[PROGRESS]&lt;1),MATCH(ROW(Main[]),ROW(Main[])),""),ROWS($K$14:N38)),COLUMNS($A$1:D25)),"")</f>
        <v/>
      </c>
      <c r="O38" s="34" t="str">
        <f t="array" ref="O38">IFERROR(INDEX(Main[],SMALL(IF((Main[PROGRESS]&lt;1),MATCH(ROW(Main[]),ROW(Main[])),""),ROWS($K$14:O38)),COLUMNS($A$1:E25)),"")</f>
        <v/>
      </c>
      <c r="P38" s="34" t="str">
        <f t="array" ref="P38">IFERROR(INDEX(Main[],SMALL(IF((Main[PROGRESS]&lt;1),MATCH(ROW(Main[]),ROW(Main[])),""),ROWS($K$14:P38)),COLUMNS($A$1:F25)),"")</f>
        <v/>
      </c>
      <c r="Q38" s="34" t="str">
        <f t="array" ref="Q38">IFERROR(INDEX(Main[],SMALL(IF((Main[PROGRESS]&lt;1),MATCH(ROW(Main[]),ROW(Main[])),""),ROWS($K$14:Q38)),COLUMNS($A$1:G25)),"")</f>
        <v/>
      </c>
      <c r="R38" s="34"/>
      <c r="S38" s="34"/>
      <c r="T38" s="34"/>
      <c r="U38" s="34"/>
      <c r="V38" s="34"/>
      <c r="W38" s="34"/>
      <c r="X38" s="34"/>
      <c r="Y38" s="34"/>
    </row>
    <row r="39" spans="1:25" x14ac:dyDescent="0.25">
      <c r="A39" s="34"/>
      <c r="B39" s="34"/>
      <c r="C39" s="34"/>
      <c r="D39" s="34"/>
      <c r="E39" s="34"/>
      <c r="F39" s="34"/>
      <c r="G39" s="34"/>
      <c r="H39" s="34"/>
      <c r="K39" s="34" t="str">
        <f t="array" ref="K39">IFERROR(INDEX(Main[],SMALL(IF((Main[PROGRESS]&lt;1),MATCH(ROW(Main[]),ROW(Main[])),""),ROWS(K$15:$K39)),COLUMNS($A$1:A25)),"")</f>
        <v/>
      </c>
      <c r="L39" s="34" t="str">
        <f t="array" ref="L39">IFERROR(INDEX(Main[],SMALL(IF((Main[PROGRESS]&lt;1),MATCH(ROW(Main[]),ROW(Main[])),""),ROWS($K$14:L39)),COLUMNS($A$1:B26)),"")</f>
        <v/>
      </c>
      <c r="M39" s="34" t="str">
        <f t="array" ref="M39">IFERROR(INDEX(Main[],SMALL(IF((Main[PROGRESS]&lt;1),MATCH(ROW(Main[]),ROW(Main[])),""),ROWS($K$14:M39)),COLUMNS($A$1:C26)),"")</f>
        <v/>
      </c>
      <c r="N39" s="34" t="str">
        <f t="array" ref="N39">IFERROR(INDEX(Main[],SMALL(IF((Main[PROGRESS]&lt;1),MATCH(ROW(Main[]),ROW(Main[])),""),ROWS($K$14:N39)),COLUMNS($A$1:D26)),"")</f>
        <v/>
      </c>
      <c r="O39" s="34" t="str">
        <f t="array" ref="O39">IFERROR(INDEX(Main[],SMALL(IF((Main[PROGRESS]&lt;1),MATCH(ROW(Main[]),ROW(Main[])),""),ROWS($K$14:O39)),COLUMNS($A$1:E26)),"")</f>
        <v/>
      </c>
      <c r="P39" s="34" t="str">
        <f t="array" ref="P39">IFERROR(INDEX(Main[],SMALL(IF((Main[PROGRESS]&lt;1),MATCH(ROW(Main[]),ROW(Main[])),""),ROWS($K$14:P39)),COLUMNS($A$1:F26)),"")</f>
        <v/>
      </c>
      <c r="Q39" s="34" t="str">
        <f t="array" ref="Q39">IFERROR(INDEX(Main[],SMALL(IF((Main[PROGRESS]&lt;1),MATCH(ROW(Main[]),ROW(Main[])),""),ROWS($K$14:Q39)),COLUMNS($A$1:G26)),"")</f>
        <v/>
      </c>
      <c r="R39" s="34"/>
      <c r="S39" s="34"/>
      <c r="T39" s="34"/>
      <c r="U39" s="34"/>
      <c r="V39" s="34"/>
      <c r="W39" s="34"/>
      <c r="X39" s="34"/>
      <c r="Y39" s="34"/>
    </row>
    <row r="40" spans="1:25" x14ac:dyDescent="0.25">
      <c r="A40" s="34"/>
      <c r="B40" s="34"/>
      <c r="C40" s="34"/>
      <c r="D40" s="34"/>
      <c r="E40" s="34"/>
      <c r="F40" s="34"/>
      <c r="G40" s="34"/>
      <c r="H40" s="34"/>
      <c r="K40" s="34" t="str">
        <f t="array" ref="K40">IFERROR(INDEX(Main[],SMALL(IF((Main[PROGRESS]&lt;1),MATCH(ROW(Main[]),ROW(Main[])),""),ROWS(K$15:$K40)),COLUMNS($A$1:A26)),"")</f>
        <v/>
      </c>
      <c r="L40" s="34" t="str">
        <f t="array" ref="L40">IFERROR(INDEX(Main[],SMALL(IF((Main[PROGRESS]&lt;1),MATCH(ROW(Main[]),ROW(Main[])),""),ROWS($K$14:L40)),COLUMNS($A$1:B27)),"")</f>
        <v/>
      </c>
      <c r="M40" s="34" t="str">
        <f t="array" ref="M40">IFERROR(INDEX(Main[],SMALL(IF((Main[PROGRESS]&lt;1),MATCH(ROW(Main[]),ROW(Main[])),""),ROWS($K$14:M40)),COLUMNS($A$1:C27)),"")</f>
        <v/>
      </c>
      <c r="N40" s="34" t="str">
        <f t="array" ref="N40">IFERROR(INDEX(Main[],SMALL(IF((Main[PROGRESS]&lt;1),MATCH(ROW(Main[]),ROW(Main[])),""),ROWS($K$14:N40)),COLUMNS($A$1:D27)),"")</f>
        <v/>
      </c>
      <c r="O40" s="34" t="str">
        <f t="array" ref="O40">IFERROR(INDEX(Main[],SMALL(IF((Main[PROGRESS]&lt;1),MATCH(ROW(Main[]),ROW(Main[])),""),ROWS($K$14:O40)),COLUMNS($A$1:E27)),"")</f>
        <v/>
      </c>
      <c r="P40" s="34" t="str">
        <f t="array" ref="P40">IFERROR(INDEX(Main[],SMALL(IF((Main[PROGRESS]&lt;1),MATCH(ROW(Main[]),ROW(Main[])),""),ROWS($K$14:P40)),COLUMNS($A$1:F27)),"")</f>
        <v/>
      </c>
      <c r="Q40" s="34" t="str">
        <f t="array" ref="Q40">IFERROR(INDEX(Main[],SMALL(IF((Main[PROGRESS]&lt;1),MATCH(ROW(Main[]),ROW(Main[])),""),ROWS($K$14:Q40)),COLUMNS($A$1:G27)),"")</f>
        <v/>
      </c>
      <c r="R40" s="34"/>
      <c r="S40" s="34"/>
      <c r="T40" s="34"/>
      <c r="U40" s="34"/>
      <c r="V40" s="34"/>
      <c r="W40" s="34"/>
      <c r="X40" s="34"/>
      <c r="Y40" s="34"/>
    </row>
    <row r="41" spans="1:25" x14ac:dyDescent="0.25">
      <c r="A41" s="34"/>
      <c r="B41" s="34"/>
      <c r="C41" s="34"/>
      <c r="D41" s="34"/>
      <c r="E41" s="34"/>
      <c r="F41" s="34"/>
      <c r="G41" s="34"/>
      <c r="H41" s="34"/>
      <c r="K41" s="34" t="str">
        <f t="array" ref="K41">IFERROR(INDEX(Main[],SMALL(IF((Main[PROGRESS]&lt;1),MATCH(ROW(Main[]),ROW(Main[])),""),ROWS(K$15:$K41)),COLUMNS($A$1:A27)),"")</f>
        <v/>
      </c>
      <c r="L41" s="34" t="str">
        <f t="array" ref="L41">IFERROR(INDEX(Main[],SMALL(IF((Main[PROGRESS]&lt;1),MATCH(ROW(Main[]),ROW(Main[])),""),ROWS($K$14:L41)),COLUMNS($A$1:B28)),"")</f>
        <v/>
      </c>
      <c r="M41" s="34" t="str">
        <f t="array" ref="M41">IFERROR(INDEX(Main[],SMALL(IF((Main[PROGRESS]&lt;1),MATCH(ROW(Main[]),ROW(Main[])),""),ROWS($K$14:M41)),COLUMNS($A$1:C28)),"")</f>
        <v/>
      </c>
      <c r="N41" s="34" t="str">
        <f t="array" ref="N41">IFERROR(INDEX(Main[],SMALL(IF((Main[PROGRESS]&lt;1),MATCH(ROW(Main[]),ROW(Main[])),""),ROWS($K$14:N41)),COLUMNS($A$1:D28)),"")</f>
        <v/>
      </c>
      <c r="O41" s="34" t="str">
        <f t="array" ref="O41">IFERROR(INDEX(Main[],SMALL(IF((Main[PROGRESS]&lt;1),MATCH(ROW(Main[]),ROW(Main[])),""),ROWS($K$14:O41)),COLUMNS($A$1:E28)),"")</f>
        <v/>
      </c>
      <c r="P41" s="34" t="str">
        <f t="array" ref="P41">IFERROR(INDEX(Main[],SMALL(IF((Main[PROGRESS]&lt;1),MATCH(ROW(Main[]),ROW(Main[])),""),ROWS($K$14:P41)),COLUMNS($A$1:F28)),"")</f>
        <v/>
      </c>
      <c r="Q41" s="34" t="str">
        <f t="array" ref="Q41">IFERROR(INDEX(Main[],SMALL(IF((Main[PROGRESS]&lt;1),MATCH(ROW(Main[]),ROW(Main[])),""),ROWS($K$14:Q41)),COLUMNS($A$1:G28)),"")</f>
        <v/>
      </c>
      <c r="R41" s="34"/>
      <c r="S41" s="34"/>
      <c r="T41" s="34"/>
      <c r="U41" s="34"/>
      <c r="V41" s="34"/>
      <c r="W41" s="34"/>
      <c r="X41" s="34"/>
      <c r="Y41" s="34"/>
    </row>
    <row r="42" spans="1:25" x14ac:dyDescent="0.25">
      <c r="A42" s="34"/>
      <c r="B42" s="34"/>
      <c r="C42" s="34"/>
      <c r="D42" s="34"/>
      <c r="E42" s="34"/>
      <c r="F42" s="34"/>
      <c r="G42" s="34"/>
      <c r="H42" s="34"/>
      <c r="K42" s="34" t="str">
        <f t="array" ref="K42">IFERROR(INDEX(Main[],SMALL(IF((Main[PROGRESS]&lt;1),MATCH(ROW(Main[]),ROW(Main[])),""),ROWS(K$15:$K42)),COLUMNS($A$1:A28)),"")</f>
        <v/>
      </c>
      <c r="L42" s="34" t="str">
        <f t="array" ref="L42">IFERROR(INDEX(Main[],SMALL(IF((Main[PROGRESS]&lt;1),MATCH(ROW(Main[]),ROW(Main[])),""),ROWS($K$14:L42)),COLUMNS($A$1:B29)),"")</f>
        <v/>
      </c>
      <c r="M42" s="34" t="str">
        <f t="array" ref="M42">IFERROR(INDEX(Main[],SMALL(IF((Main[PROGRESS]&lt;1),MATCH(ROW(Main[]),ROW(Main[])),""),ROWS($K$14:M42)),COLUMNS($A$1:C29)),"")</f>
        <v/>
      </c>
      <c r="N42" s="34" t="str">
        <f t="array" ref="N42">IFERROR(INDEX(Main[],SMALL(IF((Main[PROGRESS]&lt;1),MATCH(ROW(Main[]),ROW(Main[])),""),ROWS($K$14:N42)),COLUMNS($A$1:D29)),"")</f>
        <v/>
      </c>
      <c r="O42" s="34" t="str">
        <f t="array" ref="O42">IFERROR(INDEX(Main[],SMALL(IF((Main[PROGRESS]&lt;1),MATCH(ROW(Main[]),ROW(Main[])),""),ROWS($K$14:O42)),COLUMNS($A$1:E29)),"")</f>
        <v/>
      </c>
      <c r="P42" s="34" t="str">
        <f t="array" ref="P42">IFERROR(INDEX(Main[],SMALL(IF((Main[PROGRESS]&lt;1),MATCH(ROW(Main[]),ROW(Main[])),""),ROWS($K$14:P42)),COLUMNS($A$1:F29)),"")</f>
        <v/>
      </c>
      <c r="Q42" s="34" t="str">
        <f t="array" ref="Q42">IFERROR(INDEX(Main[],SMALL(IF((Main[PROGRESS]&lt;1),MATCH(ROW(Main[]),ROW(Main[])),""),ROWS($K$14:Q42)),COLUMNS($A$1:G29)),"")</f>
        <v/>
      </c>
      <c r="R42" s="34"/>
      <c r="S42" s="34"/>
      <c r="T42" s="34"/>
      <c r="U42" s="34"/>
      <c r="V42" s="34"/>
      <c r="W42" s="34"/>
      <c r="X42" s="34"/>
      <c r="Y42" s="34"/>
    </row>
    <row r="43" spans="1:25" x14ac:dyDescent="0.25">
      <c r="A43" s="34"/>
      <c r="B43" s="34"/>
      <c r="C43" s="34"/>
      <c r="D43" s="34"/>
      <c r="E43" s="34"/>
      <c r="F43" s="34"/>
      <c r="G43" s="34"/>
      <c r="H43" s="34"/>
      <c r="K43" s="34" t="str">
        <f t="array" ref="K43">IFERROR(INDEX(Main[],SMALL(IF((Main[PROGRESS]&lt;1),MATCH(ROW(Main[]),ROW(Main[])),""),ROWS(K$15:$K43)),COLUMNS($A$1:A29)),"")</f>
        <v/>
      </c>
      <c r="L43" s="34" t="str">
        <f t="array" ref="L43">IFERROR(INDEX(Main[],SMALL(IF((Main[PROGRESS]&lt;1),MATCH(ROW(Main[]),ROW(Main[])),""),ROWS($K$14:L43)),COLUMNS($A$1:B30)),"")</f>
        <v/>
      </c>
      <c r="M43" s="34" t="str">
        <f t="array" ref="M43">IFERROR(INDEX(Main[],SMALL(IF((Main[PROGRESS]&lt;1),MATCH(ROW(Main[]),ROW(Main[])),""),ROWS($K$14:M43)),COLUMNS($A$1:C30)),"")</f>
        <v/>
      </c>
      <c r="N43" s="34" t="str">
        <f t="array" ref="N43">IFERROR(INDEX(Main[],SMALL(IF((Main[PROGRESS]&lt;1),MATCH(ROW(Main[]),ROW(Main[])),""),ROWS($K$14:N43)),COLUMNS($A$1:D30)),"")</f>
        <v/>
      </c>
      <c r="O43" s="34" t="str">
        <f t="array" ref="O43">IFERROR(INDEX(Main[],SMALL(IF((Main[PROGRESS]&lt;1),MATCH(ROW(Main[]),ROW(Main[])),""),ROWS($K$14:O43)),COLUMNS($A$1:E30)),"")</f>
        <v/>
      </c>
      <c r="P43" s="34" t="str">
        <f t="array" ref="P43">IFERROR(INDEX(Main[],SMALL(IF((Main[PROGRESS]&lt;1),MATCH(ROW(Main[]),ROW(Main[])),""),ROWS($K$14:P43)),COLUMNS($A$1:F30)),"")</f>
        <v/>
      </c>
      <c r="Q43" s="34" t="str">
        <f t="array" ref="Q43">IFERROR(INDEX(Main[],SMALL(IF((Main[PROGRESS]&lt;1),MATCH(ROW(Main[]),ROW(Main[])),""),ROWS($K$14:Q43)),COLUMNS($A$1:G30)),"")</f>
        <v/>
      </c>
      <c r="R43" s="34"/>
      <c r="S43" s="34"/>
      <c r="T43" s="34"/>
      <c r="U43" s="34"/>
      <c r="V43" s="34"/>
      <c r="W43" s="34"/>
      <c r="X43" s="34"/>
      <c r="Y43" s="34"/>
    </row>
    <row r="44" spans="1:25" x14ac:dyDescent="0.25">
      <c r="A44" s="34"/>
      <c r="B44" s="34"/>
      <c r="C44" s="34"/>
      <c r="D44" s="34"/>
      <c r="E44" s="34"/>
      <c r="F44" s="34"/>
      <c r="G44" s="34"/>
      <c r="H44" s="34"/>
      <c r="K44" s="34" t="str">
        <f t="array" ref="K44">IFERROR(INDEX(Main[],SMALL(IF((Main[PROGRESS]&lt;1),MATCH(ROW(Main[]),ROW(Main[])),""),ROWS(K$15:$K44)),COLUMNS($A$1:A30)),"")</f>
        <v/>
      </c>
      <c r="L44" s="34" t="str">
        <f t="array" ref="L44">IFERROR(INDEX(Main[],SMALL(IF((Main[PROGRESS]&lt;1),MATCH(ROW(Main[]),ROW(Main[])),""),ROWS($K$14:L44)),COLUMNS($A$1:B31)),"")</f>
        <v/>
      </c>
      <c r="M44" s="34" t="str">
        <f t="array" ref="M44">IFERROR(INDEX(Main[],SMALL(IF((Main[PROGRESS]&lt;1),MATCH(ROW(Main[]),ROW(Main[])),""),ROWS($K$14:M44)),COLUMNS($A$1:C31)),"")</f>
        <v/>
      </c>
      <c r="N44" s="34" t="str">
        <f t="array" ref="N44">IFERROR(INDEX(Main[],SMALL(IF((Main[PROGRESS]&lt;1),MATCH(ROW(Main[]),ROW(Main[])),""),ROWS($K$14:N44)),COLUMNS($A$1:D31)),"")</f>
        <v/>
      </c>
      <c r="O44" s="34" t="str">
        <f t="array" ref="O44">IFERROR(INDEX(Main[],SMALL(IF((Main[PROGRESS]&lt;1),MATCH(ROW(Main[]),ROW(Main[])),""),ROWS($K$14:O44)),COLUMNS($A$1:E31)),"")</f>
        <v/>
      </c>
      <c r="P44" s="34" t="str">
        <f t="array" ref="P44">IFERROR(INDEX(Main[],SMALL(IF((Main[PROGRESS]&lt;1),MATCH(ROW(Main[]),ROW(Main[])),""),ROWS($K$14:P44)),COLUMNS($A$1:F31)),"")</f>
        <v/>
      </c>
      <c r="Q44" s="34" t="str">
        <f t="array" ref="Q44">IFERROR(INDEX(Main[],SMALL(IF((Main[PROGRESS]&lt;1),MATCH(ROW(Main[]),ROW(Main[])),""),ROWS($K$14:Q44)),COLUMNS($A$1:G31)),"")</f>
        <v/>
      </c>
      <c r="R44" s="34"/>
      <c r="S44" s="34"/>
      <c r="T44" s="34"/>
      <c r="U44" s="34"/>
      <c r="V44" s="34"/>
      <c r="W44" s="34"/>
      <c r="X44" s="34"/>
      <c r="Y44" s="34"/>
    </row>
    <row r="45" spans="1:25" x14ac:dyDescent="0.25">
      <c r="A45" s="34"/>
      <c r="B45" s="34"/>
      <c r="C45" s="34"/>
      <c r="D45" s="34"/>
      <c r="E45" s="34"/>
      <c r="F45" s="34"/>
      <c r="G45" s="34"/>
      <c r="H45" s="34"/>
      <c r="K45" s="34" t="str">
        <f t="array" ref="K45">IFERROR(INDEX(Main[],SMALL(IF((Main[PROGRESS]&lt;1),MATCH(ROW(Main[]),ROW(Main[])),""),ROWS(K$15:$K45)),COLUMNS($A$1:A31)),"")</f>
        <v/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 spans="1:25" x14ac:dyDescent="0.25">
      <c r="A46" s="34"/>
      <c r="B46" s="34"/>
      <c r="C46" s="34"/>
      <c r="D46" s="34"/>
      <c r="E46" s="34"/>
      <c r="F46" s="34"/>
      <c r="G46" s="34"/>
      <c r="H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spans="1:25" x14ac:dyDescent="0.25">
      <c r="A47" s="34"/>
      <c r="B47" s="34"/>
      <c r="C47" s="34"/>
      <c r="D47" s="34"/>
      <c r="E47" s="34"/>
      <c r="F47" s="34"/>
      <c r="G47" s="34"/>
      <c r="H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 spans="1:25" x14ac:dyDescent="0.25">
      <c r="A48" s="34"/>
      <c r="B48" s="34"/>
      <c r="C48" s="34"/>
      <c r="D48" s="34"/>
      <c r="E48" s="34"/>
      <c r="F48" s="34"/>
      <c r="G48" s="34"/>
      <c r="H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 spans="1:25" x14ac:dyDescent="0.25">
      <c r="A49" s="34"/>
      <c r="B49" s="34"/>
      <c r="C49" s="34"/>
      <c r="D49" s="34"/>
      <c r="E49" s="34"/>
      <c r="F49" s="34"/>
      <c r="G49" s="34"/>
      <c r="H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spans="1:25" x14ac:dyDescent="0.25">
      <c r="A50" s="34"/>
      <c r="B50" s="34"/>
      <c r="C50" s="34"/>
      <c r="D50" s="34"/>
      <c r="E50" s="34"/>
      <c r="F50" s="34"/>
      <c r="G50" s="34"/>
      <c r="H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 spans="1:25" x14ac:dyDescent="0.25">
      <c r="A51" s="34"/>
      <c r="B51" s="34"/>
      <c r="C51" s="34"/>
      <c r="D51" s="34"/>
      <c r="E51" s="34"/>
      <c r="F51" s="34"/>
      <c r="G51" s="34"/>
      <c r="H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spans="1:25" x14ac:dyDescent="0.25">
      <c r="A52" s="34"/>
      <c r="B52" s="34"/>
      <c r="C52" s="34"/>
      <c r="D52" s="34"/>
      <c r="E52" s="34"/>
      <c r="F52" s="34"/>
      <c r="G52" s="34"/>
      <c r="H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 spans="1:25" x14ac:dyDescent="0.25">
      <c r="A53" s="34"/>
      <c r="B53" s="34"/>
      <c r="C53" s="34"/>
      <c r="D53" s="34"/>
      <c r="E53" s="34"/>
      <c r="F53" s="34"/>
      <c r="G53" s="34"/>
      <c r="H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spans="1:25" x14ac:dyDescent="0.25">
      <c r="A54" s="34"/>
      <c r="B54" s="34"/>
      <c r="C54" s="34"/>
      <c r="D54" s="34"/>
      <c r="E54" s="34"/>
      <c r="F54" s="34"/>
      <c r="G54" s="34"/>
      <c r="H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spans="1:25" x14ac:dyDescent="0.25">
      <c r="A55" s="34"/>
      <c r="B55" s="34"/>
      <c r="C55" s="34"/>
      <c r="D55" s="34"/>
      <c r="E55" s="34"/>
      <c r="F55" s="34"/>
      <c r="G55" s="34"/>
      <c r="H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spans="1:25" x14ac:dyDescent="0.25">
      <c r="A56" s="34"/>
      <c r="B56" s="34"/>
      <c r="C56" s="34"/>
      <c r="D56" s="34"/>
      <c r="E56" s="34"/>
      <c r="F56" s="34"/>
      <c r="G56" s="34"/>
      <c r="H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 spans="1:25" x14ac:dyDescent="0.25">
      <c r="A57" s="34"/>
      <c r="B57" s="34"/>
      <c r="C57" s="34"/>
      <c r="D57" s="34"/>
      <c r="E57" s="34"/>
      <c r="F57" s="34"/>
      <c r="G57" s="34"/>
      <c r="H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 spans="1:25" x14ac:dyDescent="0.25">
      <c r="A58" s="34"/>
      <c r="B58" s="34"/>
      <c r="C58" s="34"/>
      <c r="D58" s="34"/>
      <c r="E58" s="34"/>
      <c r="F58" s="34"/>
      <c r="G58" s="34"/>
      <c r="H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 spans="1:25" x14ac:dyDescent="0.25">
      <c r="A59" s="34"/>
      <c r="B59" s="34"/>
      <c r="C59" s="34"/>
      <c r="D59" s="34"/>
      <c r="E59" s="34"/>
      <c r="F59" s="34"/>
      <c r="G59" s="34"/>
      <c r="H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 spans="1:25" x14ac:dyDescent="0.25">
      <c r="A60" s="34"/>
      <c r="B60" s="34"/>
      <c r="C60" s="34"/>
      <c r="D60" s="34"/>
      <c r="E60" s="34"/>
      <c r="F60" s="34"/>
      <c r="G60" s="34"/>
      <c r="H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 spans="1:25" x14ac:dyDescent="0.25">
      <c r="A61" s="34"/>
      <c r="B61" s="34"/>
      <c r="C61" s="34"/>
      <c r="D61" s="34"/>
      <c r="E61" s="34"/>
      <c r="F61" s="34"/>
      <c r="G61" s="34"/>
      <c r="H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1:25" x14ac:dyDescent="0.25">
      <c r="A62" s="34"/>
      <c r="B62" s="34"/>
      <c r="C62" s="34"/>
      <c r="D62" s="34"/>
      <c r="E62" s="34"/>
      <c r="F62" s="34"/>
      <c r="G62" s="34"/>
      <c r="H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 spans="1:25" x14ac:dyDescent="0.25">
      <c r="A63" s="34"/>
      <c r="B63" s="34"/>
      <c r="C63" s="34"/>
      <c r="D63" s="34"/>
      <c r="E63" s="34"/>
      <c r="F63" s="34"/>
      <c r="G63" s="34"/>
      <c r="H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spans="1:25" x14ac:dyDescent="0.25">
      <c r="A64" s="34"/>
      <c r="B64" s="34"/>
      <c r="C64" s="34"/>
      <c r="D64" s="34"/>
      <c r="E64" s="34"/>
      <c r="F64" s="34"/>
      <c r="G64" s="34"/>
      <c r="H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 spans="1:25" x14ac:dyDescent="0.25">
      <c r="A65" s="34"/>
      <c r="B65" s="34"/>
      <c r="C65" s="34"/>
      <c r="D65" s="34"/>
      <c r="E65" s="34"/>
      <c r="F65" s="34"/>
      <c r="G65" s="34"/>
      <c r="H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 spans="1:25" x14ac:dyDescent="0.25">
      <c r="A66" s="34"/>
      <c r="B66" s="34"/>
      <c r="C66" s="34"/>
      <c r="D66" s="34"/>
      <c r="E66" s="34"/>
      <c r="F66" s="34"/>
      <c r="G66" s="34"/>
      <c r="H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spans="1:25" x14ac:dyDescent="0.25">
      <c r="A67" s="34"/>
      <c r="B67" s="34"/>
      <c r="C67" s="34"/>
      <c r="D67" s="34"/>
      <c r="E67" s="34"/>
      <c r="F67" s="34"/>
      <c r="G67" s="34"/>
      <c r="H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spans="1:25" x14ac:dyDescent="0.25">
      <c r="A68" s="34"/>
      <c r="B68" s="34"/>
      <c r="C68" s="34"/>
      <c r="D68" s="34"/>
      <c r="E68" s="34"/>
      <c r="F68" s="34"/>
      <c r="G68" s="34"/>
      <c r="H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 spans="1:25" x14ac:dyDescent="0.25">
      <c r="A69" s="34"/>
      <c r="B69" s="34"/>
      <c r="C69" s="34"/>
      <c r="D69" s="34"/>
      <c r="E69" s="34"/>
      <c r="F69" s="34"/>
      <c r="G69" s="34"/>
      <c r="H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spans="1:25" x14ac:dyDescent="0.25">
      <c r="A70" s="34"/>
      <c r="B70" s="34"/>
      <c r="C70" s="34"/>
      <c r="D70" s="34"/>
      <c r="E70" s="34"/>
      <c r="F70" s="34"/>
      <c r="G70" s="34"/>
      <c r="H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spans="1:25" x14ac:dyDescent="0.25">
      <c r="A71" s="34"/>
      <c r="B71" s="34"/>
      <c r="C71" s="34"/>
      <c r="D71" s="34"/>
      <c r="E71" s="34"/>
      <c r="F71" s="34"/>
      <c r="G71" s="34"/>
      <c r="H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1:25" x14ac:dyDescent="0.25">
      <c r="A72" s="34"/>
      <c r="B72" s="34"/>
      <c r="C72" s="34"/>
      <c r="D72" s="34"/>
      <c r="E72" s="34"/>
      <c r="F72" s="34"/>
      <c r="G72" s="34"/>
      <c r="H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 spans="1:25" x14ac:dyDescent="0.25">
      <c r="A73" s="34"/>
      <c r="B73" s="34"/>
      <c r="C73" s="34"/>
      <c r="D73" s="34"/>
      <c r="E73" s="34"/>
      <c r="F73" s="34"/>
      <c r="G73" s="34"/>
      <c r="H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 spans="1:25" x14ac:dyDescent="0.25">
      <c r="A74" s="34"/>
      <c r="B74" s="34"/>
      <c r="C74" s="34"/>
      <c r="D74" s="34"/>
      <c r="E74" s="34"/>
      <c r="F74" s="34"/>
      <c r="G74" s="34"/>
      <c r="H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 spans="1:25" x14ac:dyDescent="0.25">
      <c r="A75" s="34"/>
      <c r="B75" s="34"/>
      <c r="C75" s="34"/>
      <c r="D75" s="34"/>
      <c r="E75" s="34"/>
      <c r="F75" s="34"/>
      <c r="G75" s="34"/>
      <c r="H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1:25" x14ac:dyDescent="0.25">
      <c r="A76" s="34"/>
      <c r="B76" s="34"/>
      <c r="C76" s="34"/>
      <c r="D76" s="34"/>
      <c r="E76" s="34"/>
      <c r="F76" s="34"/>
      <c r="G76" s="34"/>
      <c r="H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 spans="1:25" x14ac:dyDescent="0.25">
      <c r="A77" s="34"/>
      <c r="B77" s="34"/>
      <c r="C77" s="34"/>
      <c r="D77" s="34"/>
      <c r="E77" s="34"/>
      <c r="F77" s="34"/>
      <c r="G77" s="34"/>
      <c r="H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 spans="1:25" x14ac:dyDescent="0.25">
      <c r="A78" s="34"/>
      <c r="B78" s="34"/>
      <c r="C78" s="34"/>
      <c r="D78" s="34"/>
      <c r="E78" s="34"/>
      <c r="F78" s="34"/>
      <c r="G78" s="34"/>
      <c r="H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 spans="1:25" x14ac:dyDescent="0.25">
      <c r="A79" s="34"/>
      <c r="B79" s="34"/>
      <c r="C79" s="34"/>
      <c r="D79" s="34"/>
      <c r="E79" s="34"/>
      <c r="F79" s="34"/>
      <c r="G79" s="34"/>
      <c r="H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spans="1:25" x14ac:dyDescent="0.25">
      <c r="A80" s="34"/>
      <c r="B80" s="34"/>
      <c r="C80" s="34"/>
      <c r="D80" s="34"/>
      <c r="E80" s="34"/>
      <c r="F80" s="34"/>
      <c r="G80" s="34"/>
      <c r="H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spans="1:25" x14ac:dyDescent="0.25">
      <c r="A81" s="34"/>
      <c r="B81" s="34"/>
      <c r="C81" s="34"/>
      <c r="D81" s="34"/>
      <c r="E81" s="34"/>
      <c r="F81" s="34"/>
      <c r="G81" s="34"/>
      <c r="H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 spans="1:25" x14ac:dyDescent="0.25">
      <c r="A82" s="34"/>
      <c r="B82" s="34"/>
      <c r="C82" s="34"/>
      <c r="D82" s="34"/>
      <c r="E82" s="34"/>
      <c r="F82" s="34"/>
      <c r="G82" s="34"/>
      <c r="H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 spans="1:25" x14ac:dyDescent="0.25">
      <c r="A83" s="34"/>
      <c r="B83" s="34"/>
      <c r="C83" s="34"/>
      <c r="D83" s="34"/>
      <c r="E83" s="34"/>
      <c r="F83" s="34"/>
      <c r="G83" s="34"/>
      <c r="H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 spans="1:25" x14ac:dyDescent="0.25">
      <c r="A84" s="34"/>
      <c r="B84" s="34"/>
      <c r="C84" s="34"/>
      <c r="D84" s="34"/>
      <c r="E84" s="34"/>
      <c r="F84" s="34"/>
      <c r="G84" s="34"/>
      <c r="H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 spans="1:25" x14ac:dyDescent="0.25">
      <c r="A85" s="34"/>
      <c r="B85" s="34"/>
      <c r="C85" s="34"/>
      <c r="D85" s="34"/>
      <c r="E85" s="34"/>
      <c r="F85" s="34"/>
      <c r="G85" s="34"/>
      <c r="H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 spans="1:25" x14ac:dyDescent="0.25">
      <c r="A86" s="34"/>
      <c r="B86" s="34"/>
      <c r="C86" s="34"/>
      <c r="D86" s="34"/>
      <c r="E86" s="34"/>
      <c r="F86" s="34"/>
      <c r="G86" s="34"/>
      <c r="H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 spans="1:25" x14ac:dyDescent="0.25">
      <c r="A87" s="34"/>
      <c r="B87" s="34"/>
      <c r="C87" s="34"/>
      <c r="D87" s="34"/>
      <c r="E87" s="34"/>
      <c r="F87" s="34"/>
      <c r="G87" s="34"/>
      <c r="H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1:25" x14ac:dyDescent="0.25">
      <c r="A88" s="34"/>
      <c r="B88" s="34"/>
      <c r="C88" s="34"/>
      <c r="D88" s="34"/>
      <c r="E88" s="34"/>
      <c r="F88" s="34"/>
      <c r="G88" s="34"/>
      <c r="H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 spans="1:25" x14ac:dyDescent="0.25">
      <c r="A89" s="34"/>
      <c r="B89" s="34"/>
      <c r="C89" s="34"/>
      <c r="D89" s="34"/>
      <c r="E89" s="34"/>
      <c r="F89" s="34"/>
      <c r="G89" s="34"/>
      <c r="H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 spans="1:25" x14ac:dyDescent="0.25">
      <c r="A90" s="34"/>
      <c r="B90" s="34"/>
      <c r="C90" s="34"/>
      <c r="D90" s="34"/>
      <c r="E90" s="34"/>
      <c r="F90" s="34"/>
      <c r="G90" s="34"/>
      <c r="H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 spans="1:25" x14ac:dyDescent="0.25">
      <c r="A91" s="34"/>
      <c r="B91" s="34"/>
      <c r="C91" s="34"/>
      <c r="D91" s="34"/>
      <c r="E91" s="34"/>
      <c r="F91" s="34"/>
      <c r="G91" s="34"/>
      <c r="H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spans="1:25" x14ac:dyDescent="0.25">
      <c r="A92" s="34"/>
      <c r="B92" s="34"/>
      <c r="C92" s="34"/>
      <c r="D92" s="34"/>
      <c r="E92" s="34"/>
      <c r="F92" s="34"/>
      <c r="G92" s="34"/>
      <c r="H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spans="1:25" x14ac:dyDescent="0.25">
      <c r="A93" s="34"/>
      <c r="B93" s="34"/>
      <c r="C93" s="34"/>
      <c r="D93" s="34"/>
      <c r="E93" s="34"/>
      <c r="F93" s="34"/>
      <c r="G93" s="34"/>
      <c r="H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spans="1:25" x14ac:dyDescent="0.25">
      <c r="A94" s="34"/>
      <c r="B94" s="34"/>
      <c r="C94" s="34"/>
      <c r="D94" s="34"/>
      <c r="E94" s="34"/>
      <c r="F94" s="34"/>
      <c r="G94" s="34"/>
      <c r="H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spans="1:25" x14ac:dyDescent="0.25">
      <c r="A95" s="34"/>
      <c r="B95" s="34"/>
      <c r="C95" s="34"/>
      <c r="D95" s="34"/>
      <c r="E95" s="34"/>
      <c r="F95" s="34"/>
      <c r="G95" s="34"/>
      <c r="H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spans="1:25" x14ac:dyDescent="0.25">
      <c r="A96" s="34"/>
      <c r="B96" s="34"/>
      <c r="C96" s="34"/>
      <c r="D96" s="34"/>
      <c r="E96" s="34"/>
      <c r="F96" s="34"/>
      <c r="G96" s="34"/>
      <c r="H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spans="1:25" x14ac:dyDescent="0.25">
      <c r="A97" s="34"/>
      <c r="B97" s="34"/>
      <c r="C97" s="34"/>
      <c r="D97" s="34"/>
      <c r="E97" s="34"/>
      <c r="F97" s="34"/>
      <c r="G97" s="34"/>
      <c r="H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spans="1:25" x14ac:dyDescent="0.25">
      <c r="A98" s="34"/>
      <c r="B98" s="34"/>
      <c r="C98" s="34"/>
      <c r="D98" s="34"/>
      <c r="E98" s="34"/>
      <c r="F98" s="34"/>
      <c r="G98" s="34"/>
      <c r="H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spans="1:25" x14ac:dyDescent="0.25">
      <c r="A99" s="34"/>
      <c r="B99" s="34"/>
      <c r="C99" s="34"/>
      <c r="D99" s="34"/>
      <c r="E99" s="34"/>
      <c r="F99" s="34"/>
      <c r="G99" s="34"/>
      <c r="H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1:25" x14ac:dyDescent="0.25">
      <c r="A100" s="34"/>
      <c r="B100" s="34"/>
      <c r="C100" s="34"/>
      <c r="D100" s="34"/>
      <c r="E100" s="34"/>
      <c r="F100" s="34"/>
      <c r="G100" s="34"/>
      <c r="H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spans="1:25" x14ac:dyDescent="0.25">
      <c r="A101" s="34"/>
      <c r="B101" s="34"/>
      <c r="C101" s="34"/>
      <c r="D101" s="34"/>
      <c r="E101" s="34"/>
      <c r="F101" s="34"/>
      <c r="G101" s="34"/>
      <c r="H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 spans="1:25" x14ac:dyDescent="0.25">
      <c r="A102" s="34"/>
      <c r="B102" s="34"/>
      <c r="C102" s="34"/>
      <c r="D102" s="34"/>
      <c r="E102" s="34"/>
      <c r="F102" s="34"/>
      <c r="G102" s="34"/>
      <c r="H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 spans="1:25" x14ac:dyDescent="0.25">
      <c r="A103" s="34"/>
      <c r="B103" s="34"/>
      <c r="C103" s="34"/>
      <c r="D103" s="34"/>
      <c r="E103" s="34"/>
      <c r="F103" s="34"/>
      <c r="G103" s="34"/>
      <c r="H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 spans="1:25" x14ac:dyDescent="0.25">
      <c r="A104" s="34"/>
      <c r="B104" s="34"/>
      <c r="C104" s="34"/>
      <c r="D104" s="34"/>
      <c r="E104" s="34"/>
      <c r="F104" s="34"/>
      <c r="G104" s="34"/>
      <c r="H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 spans="1:25" x14ac:dyDescent="0.25">
      <c r="A105" s="34"/>
      <c r="B105" s="34"/>
      <c r="C105" s="34"/>
      <c r="D105" s="34"/>
      <c r="E105" s="34"/>
      <c r="F105" s="34"/>
      <c r="G105" s="34"/>
      <c r="H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spans="1:25" x14ac:dyDescent="0.25">
      <c r="A106" s="34"/>
      <c r="B106" s="34"/>
      <c r="C106" s="34"/>
      <c r="D106" s="34"/>
      <c r="E106" s="34"/>
      <c r="F106" s="34"/>
      <c r="G106" s="34"/>
      <c r="H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spans="1:25" x14ac:dyDescent="0.25">
      <c r="A107" s="34"/>
      <c r="B107" s="34"/>
      <c r="C107" s="34"/>
      <c r="D107" s="34"/>
      <c r="E107" s="34"/>
      <c r="F107" s="34"/>
      <c r="G107" s="34"/>
      <c r="H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spans="1:25" x14ac:dyDescent="0.25">
      <c r="A108" s="34"/>
      <c r="B108" s="34"/>
      <c r="C108" s="34"/>
      <c r="D108" s="34"/>
      <c r="E108" s="34"/>
      <c r="F108" s="34"/>
      <c r="G108" s="34"/>
      <c r="H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1:25" x14ac:dyDescent="0.25">
      <c r="A109" s="34"/>
      <c r="B109" s="34"/>
      <c r="C109" s="34"/>
      <c r="D109" s="34"/>
      <c r="E109" s="34"/>
      <c r="F109" s="34"/>
      <c r="G109" s="34"/>
      <c r="H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 spans="1:25" x14ac:dyDescent="0.25">
      <c r="A110" s="34"/>
      <c r="B110" s="34"/>
      <c r="C110" s="34"/>
      <c r="D110" s="34"/>
      <c r="E110" s="34"/>
      <c r="F110" s="34"/>
      <c r="G110" s="34"/>
      <c r="H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 spans="1:25" x14ac:dyDescent="0.25">
      <c r="A111" s="34"/>
      <c r="B111" s="34"/>
      <c r="C111" s="34"/>
      <c r="D111" s="34"/>
      <c r="E111" s="34"/>
      <c r="F111" s="34"/>
      <c r="G111" s="34"/>
      <c r="H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 spans="1:25" x14ac:dyDescent="0.25">
      <c r="A112" s="34"/>
      <c r="B112" s="34"/>
      <c r="C112" s="34"/>
      <c r="D112" s="34"/>
      <c r="E112" s="34"/>
      <c r="F112" s="34"/>
      <c r="G112" s="34"/>
      <c r="H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 spans="1:25" x14ac:dyDescent="0.25">
      <c r="A113" s="34"/>
      <c r="B113" s="34"/>
      <c r="C113" s="34"/>
      <c r="D113" s="34"/>
      <c r="E113" s="34"/>
      <c r="F113" s="34"/>
      <c r="G113" s="34"/>
      <c r="H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 spans="1:25" x14ac:dyDescent="0.25">
      <c r="A114" s="34"/>
      <c r="B114" s="34"/>
      <c r="C114" s="34"/>
      <c r="D114" s="34"/>
      <c r="E114" s="34"/>
      <c r="F114" s="34"/>
      <c r="G114" s="34"/>
      <c r="H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 spans="1:25" x14ac:dyDescent="0.25">
      <c r="A115" s="34"/>
      <c r="B115" s="34"/>
      <c r="C115" s="34"/>
      <c r="D115" s="34"/>
      <c r="E115" s="34"/>
      <c r="F115" s="34"/>
      <c r="G115" s="34"/>
      <c r="H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 spans="1:25" x14ac:dyDescent="0.25">
      <c r="A116" s="34"/>
      <c r="B116" s="34"/>
      <c r="C116" s="34"/>
      <c r="D116" s="34"/>
      <c r="E116" s="34"/>
      <c r="F116" s="34"/>
      <c r="G116" s="34"/>
      <c r="H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 spans="1:25" x14ac:dyDescent="0.25">
      <c r="A117" s="34"/>
      <c r="B117" s="34"/>
      <c r="C117" s="34"/>
      <c r="D117" s="34"/>
      <c r="E117" s="34"/>
      <c r="F117" s="34"/>
      <c r="G117" s="34"/>
      <c r="H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 spans="1:25" x14ac:dyDescent="0.25">
      <c r="A118" s="34"/>
      <c r="B118" s="34"/>
      <c r="C118" s="34"/>
      <c r="D118" s="34"/>
      <c r="E118" s="34"/>
      <c r="F118" s="34"/>
      <c r="G118" s="34"/>
      <c r="H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 spans="1:25" x14ac:dyDescent="0.25">
      <c r="A119" s="34"/>
      <c r="B119" s="34"/>
      <c r="C119" s="34"/>
      <c r="D119" s="34"/>
      <c r="E119" s="34"/>
      <c r="F119" s="34"/>
      <c r="G119" s="34"/>
      <c r="H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1:25" x14ac:dyDescent="0.25">
      <c r="A120" s="34"/>
      <c r="B120" s="34"/>
      <c r="C120" s="34"/>
      <c r="D120" s="34"/>
      <c r="E120" s="34"/>
      <c r="F120" s="34"/>
      <c r="G120" s="34"/>
      <c r="H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 spans="1:25" x14ac:dyDescent="0.25">
      <c r="A121" s="34"/>
      <c r="B121" s="34"/>
      <c r="C121" s="34"/>
      <c r="D121" s="34"/>
      <c r="E121" s="34"/>
      <c r="F121" s="34"/>
      <c r="G121" s="34"/>
      <c r="H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 spans="1:25" x14ac:dyDescent="0.25">
      <c r="A122" s="34"/>
      <c r="B122" s="34"/>
      <c r="C122" s="34"/>
      <c r="D122" s="34"/>
      <c r="E122" s="34"/>
      <c r="F122" s="34"/>
      <c r="G122" s="34"/>
      <c r="H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 spans="1:25" x14ac:dyDescent="0.25">
      <c r="A123" s="34"/>
      <c r="B123" s="34"/>
      <c r="C123" s="34"/>
      <c r="D123" s="34"/>
      <c r="E123" s="34"/>
      <c r="F123" s="34"/>
      <c r="G123" s="34"/>
      <c r="H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 spans="1:25" x14ac:dyDescent="0.25">
      <c r="A124" s="34"/>
      <c r="B124" s="34"/>
      <c r="C124" s="34"/>
      <c r="D124" s="34"/>
      <c r="E124" s="34"/>
      <c r="F124" s="34"/>
      <c r="G124" s="34"/>
      <c r="H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 spans="1:25" x14ac:dyDescent="0.25">
      <c r="A125" s="34"/>
      <c r="B125" s="34"/>
      <c r="C125" s="34"/>
      <c r="D125" s="34"/>
      <c r="E125" s="34"/>
      <c r="F125" s="34"/>
      <c r="G125" s="34"/>
      <c r="H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 spans="1:25" x14ac:dyDescent="0.25">
      <c r="A126" s="34"/>
      <c r="B126" s="34"/>
      <c r="C126" s="34"/>
      <c r="D126" s="34"/>
      <c r="E126" s="34"/>
      <c r="F126" s="34"/>
      <c r="G126" s="34"/>
      <c r="H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 spans="1:25" x14ac:dyDescent="0.25">
      <c r="A127" s="34"/>
      <c r="B127" s="34"/>
      <c r="C127" s="34"/>
      <c r="D127" s="34"/>
      <c r="E127" s="34"/>
      <c r="F127" s="34"/>
      <c r="G127" s="34"/>
      <c r="H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 spans="1:25" x14ac:dyDescent="0.25">
      <c r="A128" s="34"/>
      <c r="B128" s="34"/>
      <c r="C128" s="34"/>
      <c r="D128" s="34"/>
      <c r="E128" s="34"/>
      <c r="F128" s="34"/>
      <c r="G128" s="34"/>
      <c r="H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 spans="1:25" x14ac:dyDescent="0.25">
      <c r="A129" s="34"/>
      <c r="B129" s="34"/>
      <c r="C129" s="34"/>
      <c r="D129" s="34"/>
      <c r="E129" s="34"/>
      <c r="F129" s="34"/>
      <c r="G129" s="34"/>
      <c r="H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spans="1:25" x14ac:dyDescent="0.25">
      <c r="A130" s="34"/>
      <c r="B130" s="34"/>
      <c r="C130" s="34"/>
      <c r="D130" s="34"/>
      <c r="E130" s="34"/>
      <c r="F130" s="34"/>
      <c r="G130" s="34"/>
      <c r="H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 spans="1:25" x14ac:dyDescent="0.25">
      <c r="A131" s="34"/>
      <c r="B131" s="34"/>
      <c r="C131" s="34"/>
      <c r="D131" s="34"/>
      <c r="E131" s="34"/>
      <c r="F131" s="34"/>
      <c r="G131" s="34"/>
      <c r="H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 spans="1:25" x14ac:dyDescent="0.25">
      <c r="A132" s="34"/>
      <c r="B132" s="34"/>
      <c r="C132" s="34"/>
      <c r="D132" s="34"/>
      <c r="E132" s="34"/>
      <c r="F132" s="34"/>
      <c r="G132" s="34"/>
      <c r="H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 spans="1:25" x14ac:dyDescent="0.25">
      <c r="A133" s="34"/>
      <c r="B133" s="34"/>
      <c r="C133" s="34"/>
      <c r="D133" s="34"/>
      <c r="E133" s="34"/>
      <c r="F133" s="34"/>
      <c r="G133" s="34"/>
      <c r="H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 spans="1:25" x14ac:dyDescent="0.25">
      <c r="A134" s="34"/>
      <c r="B134" s="34"/>
      <c r="C134" s="34"/>
      <c r="D134" s="34"/>
      <c r="E134" s="34"/>
      <c r="F134" s="34"/>
      <c r="G134" s="34"/>
      <c r="H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 spans="1:25" x14ac:dyDescent="0.25">
      <c r="A135" s="34"/>
      <c r="B135" s="34"/>
      <c r="C135" s="34"/>
      <c r="D135" s="34"/>
      <c r="E135" s="34"/>
      <c r="F135" s="34"/>
      <c r="G135" s="34"/>
      <c r="H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 spans="1:25" x14ac:dyDescent="0.25">
      <c r="A136" s="34"/>
      <c r="B136" s="34"/>
      <c r="C136" s="34"/>
      <c r="D136" s="34"/>
      <c r="E136" s="34"/>
      <c r="F136" s="34"/>
      <c r="G136" s="34"/>
      <c r="H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 spans="1:25" x14ac:dyDescent="0.25">
      <c r="A137" s="34"/>
      <c r="B137" s="34"/>
      <c r="C137" s="34"/>
      <c r="D137" s="34"/>
      <c r="E137" s="34"/>
      <c r="F137" s="34"/>
      <c r="G137" s="34"/>
      <c r="H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 spans="1:25" x14ac:dyDescent="0.25">
      <c r="A138" s="34"/>
      <c r="B138" s="34"/>
      <c r="C138" s="34"/>
      <c r="D138" s="34"/>
      <c r="E138" s="34"/>
      <c r="F138" s="34"/>
      <c r="G138" s="34"/>
      <c r="H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 spans="1:25" x14ac:dyDescent="0.25">
      <c r="A139" s="34"/>
      <c r="B139" s="34"/>
      <c r="C139" s="34"/>
      <c r="D139" s="34"/>
      <c r="E139" s="34"/>
      <c r="F139" s="34"/>
      <c r="G139" s="34"/>
      <c r="H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 spans="1:25" x14ac:dyDescent="0.25">
      <c r="A140" s="34"/>
      <c r="B140" s="34"/>
      <c r="C140" s="34"/>
      <c r="D140" s="34"/>
      <c r="E140" s="34"/>
      <c r="F140" s="34"/>
      <c r="G140" s="34"/>
      <c r="H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 spans="1:25" x14ac:dyDescent="0.25">
      <c r="A141" s="34"/>
      <c r="B141" s="34"/>
      <c r="C141" s="34"/>
      <c r="D141" s="34"/>
      <c r="E141" s="34"/>
      <c r="F141" s="34"/>
      <c r="G141" s="34"/>
      <c r="H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spans="1:25" x14ac:dyDescent="0.25">
      <c r="A142" s="34"/>
      <c r="B142" s="34"/>
      <c r="C142" s="34"/>
      <c r="D142" s="34"/>
      <c r="E142" s="34"/>
      <c r="F142" s="34"/>
      <c r="G142" s="34"/>
      <c r="H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 spans="1:25" x14ac:dyDescent="0.25">
      <c r="A143" s="34"/>
      <c r="B143" s="34"/>
      <c r="C143" s="34"/>
      <c r="D143" s="34"/>
      <c r="E143" s="34"/>
      <c r="F143" s="34"/>
      <c r="G143" s="34"/>
      <c r="H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 spans="1:25" x14ac:dyDescent="0.25">
      <c r="A144" s="34"/>
      <c r="B144" s="34"/>
      <c r="C144" s="34"/>
      <c r="D144" s="34"/>
      <c r="E144" s="34"/>
      <c r="F144" s="34"/>
      <c r="G144" s="34"/>
      <c r="H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 spans="1:25" x14ac:dyDescent="0.25">
      <c r="A145" s="34"/>
      <c r="B145" s="34"/>
      <c r="C145" s="34"/>
      <c r="D145" s="34"/>
      <c r="E145" s="34"/>
      <c r="F145" s="34"/>
      <c r="G145" s="34"/>
      <c r="H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 spans="1:25" x14ac:dyDescent="0.25">
      <c r="A146" s="34"/>
      <c r="B146" s="34"/>
      <c r="C146" s="34"/>
      <c r="D146" s="34"/>
      <c r="E146" s="34"/>
      <c r="F146" s="34"/>
      <c r="G146" s="34"/>
      <c r="H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 spans="1:25" x14ac:dyDescent="0.25">
      <c r="A147" s="34"/>
      <c r="B147" s="34"/>
      <c r="C147" s="34"/>
      <c r="D147" s="34"/>
      <c r="E147" s="34"/>
      <c r="F147" s="34"/>
      <c r="G147" s="34"/>
      <c r="H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 spans="1:25" x14ac:dyDescent="0.25">
      <c r="A148" s="34"/>
      <c r="B148" s="34"/>
      <c r="C148" s="34"/>
      <c r="D148" s="34"/>
      <c r="E148" s="34"/>
      <c r="F148" s="34"/>
      <c r="G148" s="34"/>
      <c r="H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 spans="1:25" x14ac:dyDescent="0.25">
      <c r="A149" s="34"/>
      <c r="B149" s="34"/>
      <c r="C149" s="34"/>
      <c r="D149" s="34"/>
      <c r="E149" s="34"/>
      <c r="F149" s="34"/>
      <c r="G149" s="34"/>
      <c r="H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 spans="1:25" x14ac:dyDescent="0.25">
      <c r="A150" s="34"/>
      <c r="B150" s="34"/>
      <c r="C150" s="34"/>
      <c r="D150" s="34"/>
      <c r="E150" s="34"/>
      <c r="F150" s="34"/>
      <c r="G150" s="34"/>
      <c r="H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 spans="1:25" x14ac:dyDescent="0.25">
      <c r="A151" s="34"/>
      <c r="B151" s="34"/>
      <c r="C151" s="34"/>
      <c r="D151" s="34"/>
      <c r="E151" s="34"/>
      <c r="F151" s="34"/>
      <c r="G151" s="34"/>
      <c r="H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spans="1:25" x14ac:dyDescent="0.25">
      <c r="A152" s="34"/>
      <c r="B152" s="34"/>
      <c r="C152" s="34"/>
      <c r="D152" s="34"/>
      <c r="E152" s="34"/>
      <c r="F152" s="34"/>
      <c r="G152" s="34"/>
      <c r="H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 spans="1:25" x14ac:dyDescent="0.25">
      <c r="A153" s="34"/>
      <c r="B153" s="34"/>
      <c r="C153" s="34"/>
      <c r="D153" s="34"/>
      <c r="E153" s="34"/>
      <c r="F153" s="34"/>
      <c r="G153" s="34"/>
      <c r="H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 spans="1:25" x14ac:dyDescent="0.25">
      <c r="A154" s="34"/>
      <c r="B154" s="34"/>
      <c r="C154" s="34"/>
      <c r="D154" s="34"/>
      <c r="E154" s="34"/>
      <c r="F154" s="34"/>
      <c r="G154" s="34"/>
      <c r="H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 spans="1:25" x14ac:dyDescent="0.25">
      <c r="A155" s="34"/>
      <c r="B155" s="34"/>
      <c r="C155" s="34"/>
      <c r="D155" s="34"/>
      <c r="E155" s="34"/>
      <c r="F155" s="34"/>
      <c r="G155" s="34"/>
      <c r="H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 spans="1:25" x14ac:dyDescent="0.25">
      <c r="A156" s="34"/>
      <c r="B156" s="34"/>
      <c r="C156" s="34"/>
      <c r="D156" s="34"/>
      <c r="E156" s="34"/>
      <c r="F156" s="34"/>
      <c r="G156" s="34"/>
      <c r="H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 spans="1:25" x14ac:dyDescent="0.25">
      <c r="A157" s="34"/>
      <c r="B157" s="34"/>
      <c r="C157" s="34"/>
      <c r="D157" s="34"/>
      <c r="E157" s="34"/>
      <c r="F157" s="34"/>
      <c r="G157" s="34"/>
      <c r="H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 spans="1:25" x14ac:dyDescent="0.25">
      <c r="A158" s="34"/>
      <c r="B158" s="34"/>
      <c r="C158" s="34"/>
      <c r="D158" s="34"/>
      <c r="E158" s="34"/>
      <c r="F158" s="34"/>
      <c r="G158" s="34"/>
      <c r="H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 spans="1:25" x14ac:dyDescent="0.25">
      <c r="A159" s="34"/>
      <c r="B159" s="34"/>
      <c r="C159" s="34"/>
      <c r="D159" s="34"/>
      <c r="E159" s="34"/>
      <c r="F159" s="34"/>
      <c r="G159" s="34"/>
      <c r="H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 spans="1:25" x14ac:dyDescent="0.25">
      <c r="A160" s="34"/>
      <c r="B160" s="34"/>
      <c r="C160" s="34"/>
      <c r="D160" s="34"/>
      <c r="E160" s="34"/>
      <c r="F160" s="34"/>
      <c r="G160" s="34"/>
      <c r="H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 spans="1:25" x14ac:dyDescent="0.25">
      <c r="A161" s="34"/>
      <c r="B161" s="34"/>
      <c r="C161" s="34"/>
      <c r="D161" s="34"/>
      <c r="E161" s="34"/>
      <c r="F161" s="34"/>
      <c r="G161" s="34"/>
      <c r="H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 spans="1:25" x14ac:dyDescent="0.25">
      <c r="A162" s="34"/>
      <c r="B162" s="34"/>
      <c r="C162" s="34"/>
      <c r="D162" s="34"/>
      <c r="E162" s="34"/>
      <c r="F162" s="34"/>
      <c r="G162" s="34"/>
      <c r="H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 spans="1:25" x14ac:dyDescent="0.25">
      <c r="A163" s="34"/>
      <c r="B163" s="34"/>
      <c r="C163" s="34"/>
      <c r="D163" s="34"/>
      <c r="E163" s="34"/>
      <c r="F163" s="34"/>
      <c r="G163" s="34"/>
      <c r="H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 spans="1:25" x14ac:dyDescent="0.25">
      <c r="A164" s="34"/>
      <c r="B164" s="34"/>
      <c r="C164" s="34"/>
      <c r="D164" s="34"/>
      <c r="E164" s="34"/>
      <c r="F164" s="34"/>
      <c r="G164" s="34"/>
      <c r="H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 spans="1:25" x14ac:dyDescent="0.25">
      <c r="A165" s="34"/>
      <c r="B165" s="34"/>
      <c r="C165" s="34"/>
      <c r="D165" s="34"/>
      <c r="E165" s="34"/>
      <c r="F165" s="34"/>
      <c r="G165" s="34"/>
      <c r="H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 spans="1:25" x14ac:dyDescent="0.25">
      <c r="A166" s="34"/>
      <c r="B166" s="34"/>
      <c r="C166" s="34"/>
      <c r="D166" s="34"/>
      <c r="E166" s="34"/>
      <c r="F166" s="34"/>
      <c r="G166" s="34"/>
      <c r="H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spans="1:25" x14ac:dyDescent="0.25">
      <c r="A167" s="34"/>
      <c r="B167" s="34"/>
      <c r="C167" s="34"/>
      <c r="D167" s="34"/>
      <c r="E167" s="34"/>
      <c r="F167" s="34"/>
      <c r="G167" s="34"/>
      <c r="H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 spans="1:25" x14ac:dyDescent="0.25">
      <c r="A168" s="34"/>
      <c r="B168" s="34"/>
      <c r="C168" s="34"/>
      <c r="D168" s="34"/>
      <c r="E168" s="34"/>
      <c r="F168" s="34"/>
      <c r="G168" s="34"/>
      <c r="H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 spans="1:25" x14ac:dyDescent="0.25">
      <c r="A169" s="34"/>
      <c r="B169" s="34"/>
      <c r="C169" s="34"/>
      <c r="D169" s="34"/>
      <c r="E169" s="34"/>
      <c r="F169" s="34"/>
      <c r="G169" s="34"/>
      <c r="H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 spans="1:25" x14ac:dyDescent="0.25">
      <c r="A170" s="34"/>
      <c r="B170" s="34"/>
      <c r="C170" s="34"/>
      <c r="D170" s="34"/>
      <c r="E170" s="34"/>
      <c r="F170" s="34"/>
      <c r="G170" s="34"/>
      <c r="H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 spans="1:25" x14ac:dyDescent="0.25">
      <c r="A171" s="34"/>
      <c r="B171" s="34"/>
      <c r="C171" s="34"/>
      <c r="D171" s="34"/>
      <c r="E171" s="34"/>
      <c r="F171" s="34"/>
      <c r="G171" s="34"/>
      <c r="H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 spans="1:25" x14ac:dyDescent="0.25">
      <c r="A172" s="34"/>
      <c r="B172" s="34"/>
      <c r="C172" s="34"/>
      <c r="D172" s="34"/>
      <c r="E172" s="34"/>
      <c r="F172" s="34"/>
      <c r="G172" s="34"/>
      <c r="H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 spans="1:25" x14ac:dyDescent="0.25">
      <c r="A173" s="34"/>
      <c r="B173" s="34"/>
      <c r="C173" s="34"/>
      <c r="D173" s="34"/>
      <c r="E173" s="34"/>
      <c r="F173" s="34"/>
      <c r="G173" s="34"/>
      <c r="H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 spans="1:25" x14ac:dyDescent="0.25">
      <c r="A174" s="34"/>
      <c r="B174" s="34"/>
      <c r="C174" s="34"/>
      <c r="D174" s="34"/>
      <c r="E174" s="34"/>
      <c r="F174" s="34"/>
      <c r="G174" s="34"/>
      <c r="H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 spans="1:25" x14ac:dyDescent="0.25">
      <c r="A175" s="34"/>
      <c r="B175" s="34"/>
      <c r="C175" s="34"/>
      <c r="D175" s="34"/>
      <c r="E175" s="34"/>
      <c r="F175" s="34"/>
      <c r="G175" s="34"/>
      <c r="H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spans="1:25" x14ac:dyDescent="0.25">
      <c r="A176" s="34"/>
      <c r="B176" s="34"/>
      <c r="C176" s="34"/>
      <c r="D176" s="34"/>
      <c r="E176" s="34"/>
      <c r="F176" s="34"/>
      <c r="G176" s="34"/>
      <c r="H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 spans="1:25" x14ac:dyDescent="0.25">
      <c r="A177" s="34"/>
      <c r="B177" s="34"/>
      <c r="C177" s="34"/>
      <c r="D177" s="34"/>
      <c r="E177" s="34"/>
      <c r="F177" s="34"/>
      <c r="G177" s="34"/>
      <c r="H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 spans="1:25" x14ac:dyDescent="0.25">
      <c r="A178" s="34"/>
      <c r="B178" s="34"/>
      <c r="C178" s="34"/>
      <c r="D178" s="34"/>
      <c r="E178" s="34"/>
      <c r="F178" s="34"/>
      <c r="G178" s="34"/>
      <c r="H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 spans="1:25" x14ac:dyDescent="0.25">
      <c r="A179" s="34"/>
      <c r="B179" s="34"/>
      <c r="C179" s="34"/>
      <c r="D179" s="34"/>
      <c r="E179" s="34"/>
      <c r="F179" s="34"/>
      <c r="G179" s="34"/>
      <c r="H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 spans="1:25" x14ac:dyDescent="0.25">
      <c r="A180" s="34"/>
      <c r="B180" s="34"/>
      <c r="C180" s="34"/>
      <c r="D180" s="34"/>
      <c r="E180" s="34"/>
      <c r="F180" s="34"/>
      <c r="G180" s="34"/>
      <c r="H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 spans="1:25" x14ac:dyDescent="0.25">
      <c r="A181" s="34"/>
      <c r="B181" s="34"/>
      <c r="C181" s="34"/>
      <c r="D181" s="34"/>
      <c r="E181" s="34"/>
      <c r="F181" s="34"/>
      <c r="G181" s="34"/>
      <c r="H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 spans="1:25" x14ac:dyDescent="0.25">
      <c r="A182" s="34"/>
      <c r="B182" s="34"/>
      <c r="C182" s="34"/>
      <c r="D182" s="34"/>
      <c r="E182" s="34"/>
      <c r="F182" s="34"/>
      <c r="G182" s="34"/>
      <c r="H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 spans="1:25" x14ac:dyDescent="0.25">
      <c r="A183" s="34"/>
      <c r="B183" s="34"/>
      <c r="C183" s="34"/>
      <c r="D183" s="34"/>
      <c r="E183" s="34"/>
      <c r="F183" s="34"/>
      <c r="G183" s="34"/>
      <c r="H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 spans="1:25" x14ac:dyDescent="0.25">
      <c r="A184" s="34"/>
      <c r="B184" s="34"/>
      <c r="C184" s="34"/>
      <c r="D184" s="34"/>
      <c r="E184" s="34"/>
      <c r="F184" s="34"/>
      <c r="G184" s="34"/>
      <c r="H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 spans="1:25" x14ac:dyDescent="0.25">
      <c r="A185" s="34"/>
      <c r="B185" s="34"/>
      <c r="C185" s="34"/>
      <c r="D185" s="34"/>
      <c r="E185" s="34"/>
      <c r="F185" s="34"/>
      <c r="G185" s="34"/>
      <c r="H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 spans="1:25" x14ac:dyDescent="0.25">
      <c r="A186" s="34"/>
      <c r="B186" s="34"/>
      <c r="C186" s="34"/>
      <c r="D186" s="34"/>
      <c r="E186" s="34"/>
      <c r="F186" s="34"/>
      <c r="G186" s="34"/>
      <c r="H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 spans="1:25" x14ac:dyDescent="0.25">
      <c r="A187" s="34"/>
      <c r="B187" s="34"/>
      <c r="C187" s="34"/>
      <c r="D187" s="34"/>
      <c r="E187" s="34"/>
      <c r="F187" s="34"/>
      <c r="G187" s="34"/>
      <c r="H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spans="1:25" x14ac:dyDescent="0.25">
      <c r="A188" s="34"/>
      <c r="B188" s="34"/>
      <c r="C188" s="34"/>
      <c r="D188" s="34"/>
      <c r="E188" s="34"/>
      <c r="F188" s="34"/>
      <c r="G188" s="34"/>
      <c r="H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 spans="1:25" x14ac:dyDescent="0.25">
      <c r="A189" s="34"/>
      <c r="B189" s="34"/>
      <c r="C189" s="34"/>
      <c r="D189" s="34"/>
      <c r="E189" s="34"/>
      <c r="F189" s="34"/>
      <c r="G189" s="34"/>
      <c r="H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 spans="1:25" x14ac:dyDescent="0.25">
      <c r="A190" s="34"/>
      <c r="B190" s="34"/>
      <c r="C190" s="34"/>
      <c r="D190" s="34"/>
      <c r="E190" s="34"/>
      <c r="F190" s="34"/>
      <c r="G190" s="34"/>
      <c r="H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 spans="1:25" x14ac:dyDescent="0.25">
      <c r="A191" s="34"/>
      <c r="B191" s="34"/>
      <c r="C191" s="34"/>
      <c r="D191" s="34"/>
      <c r="E191" s="34"/>
      <c r="F191" s="34"/>
      <c r="G191" s="34"/>
      <c r="H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 spans="1:25" x14ac:dyDescent="0.25">
      <c r="A192" s="34"/>
      <c r="B192" s="34"/>
      <c r="C192" s="34"/>
      <c r="D192" s="34"/>
      <c r="E192" s="34"/>
      <c r="F192" s="34"/>
      <c r="G192" s="34"/>
      <c r="H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 spans="1:25" x14ac:dyDescent="0.25">
      <c r="A193" s="34"/>
      <c r="B193" s="34"/>
      <c r="C193" s="34"/>
      <c r="D193" s="34"/>
      <c r="E193" s="34"/>
      <c r="F193" s="34"/>
      <c r="G193" s="34"/>
      <c r="H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 spans="1:25" x14ac:dyDescent="0.25">
      <c r="A194" s="34"/>
      <c r="B194" s="34"/>
      <c r="C194" s="34"/>
      <c r="D194" s="34"/>
      <c r="E194" s="34"/>
      <c r="F194" s="34"/>
      <c r="G194" s="34"/>
      <c r="H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 spans="1:25" x14ac:dyDescent="0.25">
      <c r="A195" s="34"/>
      <c r="B195" s="34"/>
      <c r="C195" s="34"/>
      <c r="D195" s="34"/>
      <c r="E195" s="34"/>
      <c r="F195" s="34"/>
      <c r="G195" s="34"/>
      <c r="H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 spans="1:25" x14ac:dyDescent="0.25">
      <c r="A196" s="34"/>
      <c r="B196" s="34"/>
      <c r="C196" s="34"/>
      <c r="D196" s="34"/>
      <c r="E196" s="34"/>
      <c r="F196" s="34"/>
      <c r="G196" s="34"/>
      <c r="H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 spans="1:25" x14ac:dyDescent="0.25">
      <c r="A197" s="34"/>
      <c r="B197" s="34"/>
      <c r="C197" s="34"/>
      <c r="D197" s="34"/>
      <c r="E197" s="34"/>
      <c r="F197" s="34"/>
      <c r="G197" s="34"/>
      <c r="H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 spans="1:25" x14ac:dyDescent="0.25">
      <c r="A198" s="34"/>
      <c r="B198" s="34"/>
      <c r="C198" s="34"/>
      <c r="D198" s="34"/>
      <c r="E198" s="34"/>
      <c r="F198" s="34"/>
      <c r="G198" s="34"/>
      <c r="H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 spans="1:25" x14ac:dyDescent="0.25">
      <c r="A199" s="34"/>
      <c r="B199" s="34"/>
      <c r="C199" s="34"/>
      <c r="D199" s="34"/>
      <c r="E199" s="34"/>
      <c r="F199" s="34"/>
      <c r="G199" s="34"/>
      <c r="H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 spans="1:25" x14ac:dyDescent="0.25">
      <c r="A200" s="34"/>
      <c r="B200" s="34"/>
      <c r="C200" s="34"/>
      <c r="D200" s="34"/>
      <c r="E200" s="34"/>
      <c r="F200" s="34"/>
      <c r="G200" s="34"/>
      <c r="H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 spans="1:25" x14ac:dyDescent="0.25">
      <c r="A201" s="34"/>
      <c r="B201" s="34"/>
      <c r="C201" s="34"/>
      <c r="D201" s="34"/>
      <c r="E201" s="34"/>
      <c r="F201" s="34"/>
      <c r="G201" s="34"/>
      <c r="H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 spans="1:25" x14ac:dyDescent="0.25">
      <c r="A202" s="34"/>
      <c r="B202" s="34"/>
      <c r="C202" s="34"/>
      <c r="D202" s="34"/>
      <c r="E202" s="34"/>
      <c r="F202" s="34"/>
      <c r="G202" s="34"/>
      <c r="H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 spans="1:25" x14ac:dyDescent="0.25">
      <c r="A203" s="34"/>
      <c r="B203" s="34"/>
      <c r="C203" s="34"/>
      <c r="D203" s="34"/>
      <c r="E203" s="34"/>
      <c r="F203" s="34"/>
      <c r="G203" s="34"/>
      <c r="H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 spans="1:25" x14ac:dyDescent="0.25">
      <c r="A204" s="34"/>
      <c r="B204" s="34"/>
      <c r="C204" s="34"/>
      <c r="D204" s="34"/>
      <c r="E204" s="34"/>
      <c r="F204" s="34"/>
      <c r="G204" s="34"/>
      <c r="H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 spans="1:25" x14ac:dyDescent="0.25">
      <c r="A205" s="34"/>
      <c r="B205" s="34"/>
      <c r="C205" s="34"/>
      <c r="D205" s="34"/>
      <c r="E205" s="34"/>
      <c r="F205" s="34"/>
      <c r="G205" s="34"/>
      <c r="H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 spans="1:25" x14ac:dyDescent="0.25">
      <c r="A206" s="34"/>
      <c r="B206" s="34"/>
      <c r="C206" s="34"/>
      <c r="D206" s="34"/>
      <c r="E206" s="34"/>
      <c r="F206" s="34"/>
      <c r="G206" s="34"/>
      <c r="H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 spans="1:25" x14ac:dyDescent="0.25">
      <c r="A207" s="34"/>
      <c r="B207" s="34"/>
      <c r="C207" s="34"/>
      <c r="D207" s="34"/>
      <c r="E207" s="34"/>
      <c r="F207" s="34"/>
      <c r="G207" s="34"/>
      <c r="H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 spans="1:25" x14ac:dyDescent="0.25">
      <c r="A208" s="34"/>
      <c r="B208" s="34"/>
      <c r="C208" s="34"/>
      <c r="D208" s="34"/>
      <c r="E208" s="34"/>
      <c r="F208" s="34"/>
      <c r="G208" s="34"/>
      <c r="H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 spans="1:25" x14ac:dyDescent="0.25">
      <c r="A209" s="34"/>
      <c r="B209" s="34"/>
      <c r="C209" s="34"/>
      <c r="D209" s="34"/>
      <c r="E209" s="34"/>
      <c r="F209" s="34"/>
      <c r="G209" s="34"/>
      <c r="H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 spans="1:25" x14ac:dyDescent="0.25">
      <c r="A210" s="34"/>
      <c r="B210" s="34"/>
      <c r="C210" s="34"/>
      <c r="D210" s="34"/>
      <c r="E210" s="34"/>
      <c r="F210" s="34"/>
      <c r="G210" s="34"/>
      <c r="H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 spans="1:25" x14ac:dyDescent="0.25">
      <c r="A211" s="34"/>
      <c r="B211" s="34"/>
      <c r="C211" s="34"/>
      <c r="D211" s="34"/>
      <c r="E211" s="34"/>
      <c r="F211" s="34"/>
      <c r="G211" s="34"/>
      <c r="H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 spans="1:25" x14ac:dyDescent="0.25">
      <c r="A212" s="34"/>
      <c r="B212" s="34"/>
      <c r="C212" s="34"/>
      <c r="D212" s="34"/>
      <c r="E212" s="34"/>
      <c r="F212" s="34"/>
      <c r="G212" s="34"/>
      <c r="H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 spans="1:25" x14ac:dyDescent="0.25">
      <c r="A213" s="34"/>
      <c r="B213" s="34"/>
      <c r="C213" s="34"/>
      <c r="D213" s="34"/>
      <c r="E213" s="34"/>
      <c r="F213" s="34"/>
      <c r="G213" s="34"/>
      <c r="H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 spans="1:25" x14ac:dyDescent="0.25">
      <c r="A214" s="34"/>
      <c r="B214" s="34"/>
      <c r="C214" s="34"/>
      <c r="D214" s="34"/>
      <c r="E214" s="34"/>
      <c r="F214" s="34"/>
      <c r="G214" s="34"/>
      <c r="H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 spans="1:25" x14ac:dyDescent="0.25">
      <c r="A215" s="34"/>
      <c r="B215" s="34"/>
      <c r="C215" s="34"/>
      <c r="D215" s="34"/>
      <c r="E215" s="34"/>
      <c r="F215" s="34"/>
      <c r="G215" s="34"/>
      <c r="H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 spans="1:25" x14ac:dyDescent="0.25">
      <c r="A216" s="34"/>
      <c r="B216" s="34"/>
      <c r="C216" s="34"/>
      <c r="D216" s="34"/>
      <c r="E216" s="34"/>
      <c r="F216" s="34"/>
      <c r="G216" s="34"/>
      <c r="H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 spans="1:25" x14ac:dyDescent="0.25">
      <c r="A217" s="34"/>
      <c r="B217" s="34"/>
      <c r="C217" s="34"/>
      <c r="D217" s="34"/>
      <c r="E217" s="34"/>
      <c r="F217" s="34"/>
      <c r="G217" s="34"/>
      <c r="H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 spans="1:25" x14ac:dyDescent="0.25">
      <c r="A218" s="34"/>
      <c r="B218" s="34"/>
      <c r="C218" s="34"/>
      <c r="D218" s="34"/>
      <c r="E218" s="34"/>
      <c r="F218" s="34"/>
      <c r="G218" s="34"/>
      <c r="H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 spans="1:25" x14ac:dyDescent="0.25">
      <c r="A219" s="34"/>
      <c r="B219" s="34"/>
      <c r="C219" s="34"/>
      <c r="D219" s="34"/>
      <c r="E219" s="34"/>
      <c r="F219" s="34"/>
      <c r="G219" s="34"/>
      <c r="H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 spans="1:25" x14ac:dyDescent="0.25">
      <c r="A220" s="34"/>
      <c r="B220" s="34"/>
      <c r="C220" s="34"/>
      <c r="D220" s="34"/>
      <c r="E220" s="34"/>
      <c r="F220" s="34"/>
      <c r="G220" s="34"/>
      <c r="H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 spans="1:25" x14ac:dyDescent="0.25">
      <c r="A221" s="34"/>
      <c r="B221" s="34"/>
      <c r="C221" s="34"/>
      <c r="D221" s="34"/>
      <c r="E221" s="34"/>
      <c r="F221" s="34"/>
      <c r="G221" s="34"/>
      <c r="H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 spans="1:25" x14ac:dyDescent="0.25">
      <c r="A222" s="34"/>
      <c r="B222" s="34"/>
      <c r="C222" s="34"/>
      <c r="D222" s="34"/>
      <c r="E222" s="34"/>
      <c r="F222" s="34"/>
      <c r="G222" s="34"/>
      <c r="H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 spans="1:25" x14ac:dyDescent="0.25">
      <c r="A223" s="34"/>
      <c r="B223" s="34"/>
      <c r="C223" s="34"/>
      <c r="D223" s="34"/>
      <c r="E223" s="34"/>
      <c r="F223" s="34"/>
      <c r="G223" s="34"/>
      <c r="H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 spans="1:25" x14ac:dyDescent="0.25">
      <c r="A224" s="34"/>
      <c r="B224" s="34"/>
      <c r="C224" s="34"/>
      <c r="D224" s="34"/>
      <c r="E224" s="34"/>
      <c r="F224" s="34"/>
      <c r="G224" s="34"/>
      <c r="H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 spans="1:25" x14ac:dyDescent="0.25">
      <c r="A225" s="34"/>
      <c r="B225" s="34"/>
      <c r="C225" s="34"/>
      <c r="D225" s="34"/>
      <c r="E225" s="34"/>
      <c r="F225" s="34"/>
      <c r="G225" s="34"/>
      <c r="H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 spans="1:25" x14ac:dyDescent="0.25">
      <c r="A226" s="34"/>
      <c r="B226" s="34"/>
      <c r="C226" s="34"/>
      <c r="D226" s="34"/>
      <c r="E226" s="34"/>
      <c r="F226" s="34"/>
      <c r="G226" s="34"/>
      <c r="H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 spans="1:25" x14ac:dyDescent="0.25">
      <c r="A227" s="34"/>
      <c r="B227" s="34"/>
      <c r="C227" s="34"/>
      <c r="D227" s="34"/>
      <c r="E227" s="34"/>
      <c r="F227" s="34"/>
      <c r="G227" s="34"/>
      <c r="H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 spans="1:25" x14ac:dyDescent="0.25">
      <c r="A228" s="34"/>
      <c r="B228" s="34"/>
      <c r="C228" s="34"/>
      <c r="D228" s="34"/>
      <c r="E228" s="34"/>
      <c r="F228" s="34"/>
      <c r="G228" s="34"/>
      <c r="H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 spans="1:25" x14ac:dyDescent="0.25">
      <c r="A229" s="34"/>
      <c r="B229" s="34"/>
      <c r="C229" s="34"/>
      <c r="D229" s="34"/>
      <c r="E229" s="34"/>
      <c r="F229" s="34"/>
      <c r="G229" s="34"/>
      <c r="H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 spans="1:25" x14ac:dyDescent="0.25">
      <c r="A230" s="34"/>
      <c r="B230" s="34"/>
      <c r="C230" s="34"/>
      <c r="D230" s="34"/>
      <c r="E230" s="34"/>
      <c r="F230" s="34"/>
      <c r="G230" s="34"/>
      <c r="H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 spans="1:25" x14ac:dyDescent="0.25">
      <c r="A231" s="34"/>
      <c r="B231" s="34"/>
      <c r="C231" s="34"/>
      <c r="D231" s="34"/>
      <c r="E231" s="34"/>
      <c r="F231" s="34"/>
      <c r="G231" s="34"/>
      <c r="H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 spans="1:25" x14ac:dyDescent="0.25">
      <c r="A232" s="34"/>
      <c r="B232" s="34"/>
      <c r="C232" s="34"/>
      <c r="D232" s="34"/>
      <c r="E232" s="34"/>
      <c r="F232" s="34"/>
      <c r="G232" s="34"/>
      <c r="H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 spans="1:25" x14ac:dyDescent="0.25">
      <c r="A233" s="34"/>
      <c r="B233" s="34"/>
      <c r="C233" s="34"/>
      <c r="D233" s="34"/>
      <c r="E233" s="34"/>
      <c r="F233" s="34"/>
      <c r="G233" s="34"/>
      <c r="H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 spans="1:25" x14ac:dyDescent="0.25">
      <c r="A234" s="34"/>
      <c r="B234" s="34"/>
      <c r="C234" s="34"/>
      <c r="D234" s="34"/>
      <c r="E234" s="34"/>
      <c r="F234" s="34"/>
      <c r="G234" s="34"/>
      <c r="H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 spans="1:25" x14ac:dyDescent="0.25">
      <c r="A235" s="34"/>
      <c r="B235" s="34"/>
      <c r="C235" s="34"/>
      <c r="D235" s="34"/>
      <c r="E235" s="34"/>
      <c r="F235" s="34"/>
      <c r="G235" s="34"/>
      <c r="H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 spans="1:25" x14ac:dyDescent="0.25">
      <c r="A236" s="34"/>
      <c r="B236" s="34"/>
      <c r="C236" s="34"/>
      <c r="D236" s="34"/>
      <c r="E236" s="34"/>
      <c r="F236" s="34"/>
      <c r="G236" s="34"/>
      <c r="H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 spans="1:25" x14ac:dyDescent="0.25">
      <c r="A237" s="34"/>
      <c r="B237" s="34"/>
      <c r="C237" s="34"/>
      <c r="D237" s="34"/>
      <c r="E237" s="34"/>
      <c r="F237" s="34"/>
      <c r="G237" s="34"/>
      <c r="H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 spans="1:25" x14ac:dyDescent="0.25">
      <c r="A238" s="34"/>
      <c r="B238" s="34"/>
      <c r="C238" s="34"/>
      <c r="D238" s="34"/>
      <c r="E238" s="34"/>
      <c r="F238" s="34"/>
      <c r="G238" s="34"/>
      <c r="H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 spans="1:25" x14ac:dyDescent="0.25">
      <c r="A239" s="34"/>
      <c r="B239" s="34"/>
      <c r="C239" s="34"/>
      <c r="D239" s="34"/>
      <c r="E239" s="34"/>
      <c r="F239" s="34"/>
      <c r="G239" s="34"/>
      <c r="H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 spans="1:25" x14ac:dyDescent="0.25">
      <c r="A240" s="34"/>
      <c r="B240" s="34"/>
      <c r="C240" s="34"/>
      <c r="D240" s="34"/>
      <c r="E240" s="34"/>
      <c r="F240" s="34"/>
      <c r="G240" s="34"/>
      <c r="H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 spans="1:25" x14ac:dyDescent="0.25">
      <c r="A241" s="34"/>
      <c r="B241" s="34"/>
      <c r="C241" s="34"/>
      <c r="D241" s="34"/>
      <c r="E241" s="34"/>
      <c r="F241" s="34"/>
      <c r="G241" s="34"/>
      <c r="H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 spans="1:25" x14ac:dyDescent="0.25">
      <c r="A242" s="34"/>
      <c r="B242" s="34"/>
      <c r="C242" s="34"/>
      <c r="D242" s="34"/>
      <c r="E242" s="34"/>
      <c r="F242" s="34"/>
      <c r="G242" s="34"/>
      <c r="H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 spans="1:25" x14ac:dyDescent="0.25">
      <c r="A243" s="34"/>
      <c r="B243" s="34"/>
      <c r="C243" s="34"/>
      <c r="D243" s="34"/>
      <c r="E243" s="34"/>
      <c r="F243" s="34"/>
      <c r="G243" s="34"/>
      <c r="H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 spans="1:25" x14ac:dyDescent="0.25">
      <c r="A244" s="34"/>
      <c r="B244" s="34"/>
      <c r="C244" s="34"/>
      <c r="D244" s="34"/>
      <c r="E244" s="34"/>
      <c r="F244" s="34"/>
      <c r="G244" s="34"/>
      <c r="H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 spans="1:25" x14ac:dyDescent="0.25">
      <c r="A245" s="34"/>
      <c r="B245" s="34"/>
      <c r="C245" s="34"/>
      <c r="D245" s="34"/>
      <c r="E245" s="34"/>
      <c r="F245" s="34"/>
      <c r="G245" s="34"/>
      <c r="H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 spans="1:25" x14ac:dyDescent="0.25">
      <c r="B246" s="34"/>
      <c r="C246" s="34"/>
      <c r="D246" s="34"/>
      <c r="E246" s="34"/>
      <c r="F246" s="34"/>
      <c r="G246" s="34"/>
      <c r="H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 spans="1:25" x14ac:dyDescent="0.25">
      <c r="B247" s="34"/>
      <c r="C247" s="34"/>
      <c r="D247" s="34"/>
      <c r="E247" s="34"/>
      <c r="F247" s="34"/>
      <c r="G247" s="34"/>
      <c r="H247" s="34"/>
      <c r="K247" s="34"/>
    </row>
    <row r="248" spans="1:25" x14ac:dyDescent="0.25">
      <c r="B248" s="34"/>
      <c r="C248" s="34"/>
      <c r="D248" s="34"/>
      <c r="E248" s="34"/>
      <c r="F248" s="34"/>
      <c r="G248" s="34"/>
      <c r="H248" s="34"/>
    </row>
    <row r="249" spans="1:25" x14ac:dyDescent="0.25">
      <c r="B249" s="34"/>
      <c r="C249" s="34"/>
      <c r="D249" s="34"/>
      <c r="E249" s="34"/>
      <c r="F249" s="34"/>
      <c r="G249" s="34"/>
      <c r="H249" s="34"/>
    </row>
    <row r="250" spans="1:25" x14ac:dyDescent="0.25">
      <c r="B250" s="34"/>
      <c r="C250" s="34"/>
      <c r="D250" s="34"/>
      <c r="E250" s="34"/>
      <c r="F250" s="34"/>
      <c r="G250" s="34"/>
      <c r="H250" s="34"/>
    </row>
    <row r="251" spans="1:25" x14ac:dyDescent="0.25">
      <c r="B251" s="34"/>
      <c r="C251" s="34"/>
      <c r="D251" s="34"/>
      <c r="E251" s="34"/>
      <c r="F251" s="34"/>
      <c r="G251" s="34"/>
      <c r="H251" s="34"/>
    </row>
    <row r="252" spans="1:25" x14ac:dyDescent="0.25">
      <c r="B252" s="34"/>
      <c r="C252" s="34"/>
      <c r="D252" s="34"/>
      <c r="E252" s="34"/>
      <c r="F252" s="34"/>
      <c r="G252" s="34"/>
      <c r="H252" s="34"/>
    </row>
  </sheetData>
  <phoneticPr fontId="4" type="noConversion"/>
  <dataValidations count="2">
    <dataValidation type="list" allowBlank="1" showInputMessage="1" showErrorMessage="1" sqref="B2:B22" xr:uid="{00000000-0002-0000-0000-000000000000}">
      <formula1>INDIRECT("Projects[Projects]")</formula1>
    </dataValidation>
    <dataValidation type="list" allowBlank="1" showInputMessage="1" showErrorMessage="1" sqref="D23:D40" xr:uid="{00000000-0002-0000-0000-000001000000}">
      <formula1>INDIRECT("Resources[Resources]")</formula1>
    </dataValidation>
  </dataValidation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Q36"/>
  <sheetViews>
    <sheetView zoomScale="80" zoomScaleNormal="80" workbookViewId="0">
      <selection activeCell="H36" sqref="H36"/>
    </sheetView>
  </sheetViews>
  <sheetFormatPr baseColWidth="10" defaultColWidth="8.85546875" defaultRowHeight="15" x14ac:dyDescent="0.25"/>
  <cols>
    <col min="1" max="1" width="8.85546875" style="12"/>
    <col min="2" max="2" width="28.42578125" style="12" customWidth="1"/>
    <col min="3" max="3" width="13.85546875" style="12" customWidth="1"/>
    <col min="4" max="4" width="16" style="12" customWidth="1"/>
    <col min="5" max="5" width="21.5703125" style="12" customWidth="1"/>
    <col min="6" max="6" width="21.85546875" style="12" customWidth="1"/>
    <col min="7" max="7" width="12.42578125" style="12" customWidth="1"/>
    <col min="8" max="8" width="11.5703125" style="12" customWidth="1"/>
    <col min="9" max="9" width="8.85546875" style="12"/>
    <col min="10" max="10" width="16.42578125" style="12" customWidth="1"/>
    <col min="11" max="11" width="13.85546875" style="12" customWidth="1"/>
    <col min="12" max="12" width="21.85546875" style="12" customWidth="1"/>
    <col min="13" max="13" width="12.42578125" style="12" customWidth="1"/>
    <col min="14" max="14" width="11.5703125" style="12" customWidth="1"/>
    <col min="15" max="15" width="15.5703125" style="12" customWidth="1"/>
    <col min="16" max="16384" width="8.85546875" style="12"/>
  </cols>
  <sheetData>
    <row r="3" spans="2:17" x14ac:dyDescent="0.25">
      <c r="B3" s="13" t="s">
        <v>11</v>
      </c>
      <c r="C3" s="12">
        <f>COUNTA(Projects[Projects])</f>
        <v>1</v>
      </c>
      <c r="J3" s="13" t="s">
        <v>25</v>
      </c>
      <c r="K3" s="12">
        <f>MAX(Main[END DATE])-MIN(Main[START DATE])</f>
        <v>31</v>
      </c>
    </row>
    <row r="5" spans="2:17" x14ac:dyDescent="0.25">
      <c r="B5" s="13" t="s">
        <v>23</v>
      </c>
      <c r="C5" s="12">
        <f>C11</f>
        <v>14</v>
      </c>
      <c r="J5" s="13" t="s">
        <v>28</v>
      </c>
      <c r="K5" s="12">
        <f>COUNTIF(Main[PROGRESS],"=0")</f>
        <v>0</v>
      </c>
    </row>
    <row r="6" spans="2:17" x14ac:dyDescent="0.25">
      <c r="J6" s="13" t="s">
        <v>29</v>
      </c>
      <c r="K6" s="12">
        <f>COUNTIFS(Main[PROGRESS],"&gt;0", Main[PROGRESS],"&lt;1")</f>
        <v>7</v>
      </c>
    </row>
    <row r="7" spans="2:17" x14ac:dyDescent="0.25">
      <c r="J7" s="13" t="s">
        <v>30</v>
      </c>
      <c r="K7" s="12">
        <f>COUNTIF(Main[PROGRESS],"=1")</f>
        <v>14</v>
      </c>
    </row>
    <row r="10" spans="2:17" ht="15.75" x14ac:dyDescent="0.25">
      <c r="B10" s="14" t="s">
        <v>7</v>
      </c>
      <c r="C10" s="14" t="s">
        <v>12</v>
      </c>
      <c r="D10" s="14" t="s">
        <v>13</v>
      </c>
      <c r="E10" s="14" t="s">
        <v>14</v>
      </c>
      <c r="F10" s="14" t="s">
        <v>17</v>
      </c>
      <c r="G10" s="14" t="s">
        <v>18</v>
      </c>
      <c r="H10" s="14" t="s">
        <v>15</v>
      </c>
      <c r="J10" s="14" t="s">
        <v>7</v>
      </c>
      <c r="K10" s="14" t="s">
        <v>12</v>
      </c>
      <c r="L10" s="14" t="s">
        <v>26</v>
      </c>
      <c r="M10" s="14" t="s">
        <v>18</v>
      </c>
      <c r="N10" s="14" t="s">
        <v>15</v>
      </c>
      <c r="O10" s="14" t="s">
        <v>27</v>
      </c>
    </row>
    <row r="11" spans="2:17" x14ac:dyDescent="0.25">
      <c r="B11" s="15" t="s">
        <v>16</v>
      </c>
      <c r="C11" s="15">
        <f>COUNTA(Main[TASK])</f>
        <v>14</v>
      </c>
      <c r="D11" s="16">
        <f>MIN(Main[START DATE])</f>
        <v>45717</v>
      </c>
      <c r="E11" s="16">
        <f>MAX(Main[END DATE])</f>
        <v>45748</v>
      </c>
      <c r="F11" s="15">
        <f>+K3</f>
        <v>31</v>
      </c>
      <c r="G11" s="17">
        <f>AVERAGE(Main[PROGRESS])</f>
        <v>0.83333333333333337</v>
      </c>
      <c r="H11" s="17">
        <f>IFERROR(1-G11,"")</f>
        <v>0.16666666666666663</v>
      </c>
      <c r="J11" s="15" t="s">
        <v>24</v>
      </c>
      <c r="K11" s="15">
        <f>COUNTA(Main[TASK])</f>
        <v>14</v>
      </c>
      <c r="L11" s="15">
        <f>+K3</f>
        <v>31</v>
      </c>
      <c r="M11" s="17">
        <f>AVERAGE(Main[PROGRESS])</f>
        <v>0.83333333333333337</v>
      </c>
      <c r="N11" s="17">
        <f>IFERROR(1-M11,"")</f>
        <v>0.16666666666666663</v>
      </c>
      <c r="O11" s="15"/>
    </row>
    <row r="12" spans="2:17" x14ac:dyDescent="0.25">
      <c r="B12" s="21" t="str">
        <f>_xlfn.IFS(Data!K2&lt;&gt;0, Data!K2,Data!K2=0, #N/A)</f>
        <v>BASE DE CONNAISSANCE IA OP</v>
      </c>
      <c r="C12" s="18">
        <f>COUNTIF(Main[PROJECT],B12)</f>
        <v>21</v>
      </c>
      <c r="D12" s="19">
        <f t="array" ref="D12">MIN(IF(Main[PROJECT]=B12,Main[START DATE]))</f>
        <v>45717</v>
      </c>
      <c r="E12" s="19">
        <f t="array" ref="E12">MAX(IF(Main[PROJECT]=B12, Main[END DATE]))</f>
        <v>45748</v>
      </c>
      <c r="F12" s="35">
        <f>E12-D12</f>
        <v>31</v>
      </c>
      <c r="G12" s="20">
        <f>AVERAGEIF(Main[PROJECT], B12, Main[PROGRESS])</f>
        <v>0.83333333333333337</v>
      </c>
      <c r="H12" s="20">
        <f t="shared" ref="H12" si="0">IFERROR(1-G12,"")</f>
        <v>0.16666666666666663</v>
      </c>
      <c r="J12" s="21" t="str">
        <f>_xlfn.IFS(Data!M2&lt;&gt;0, Data!M2,Data!M2=0, #N/A)</f>
        <v>MCCI</v>
      </c>
      <c r="K12" s="18">
        <f>COUNTIF(Main[ASIGNEE],J12)</f>
        <v>2</v>
      </c>
      <c r="L12" s="18">
        <f>SUMIF(Main[ASIGNEE], J12, Main[DAYS REQUIRED])</f>
        <v>15</v>
      </c>
      <c r="M12" s="20">
        <f>AVERAGEIF(Main[ASIGNEE], J12, Main[PROGRESS])</f>
        <v>1</v>
      </c>
      <c r="N12" s="20">
        <f t="shared" ref="N12" si="1">IFERROR(1-M12,"")</f>
        <v>0</v>
      </c>
      <c r="O12" s="18">
        <f>IF(K12&gt;0, $K$3, "")</f>
        <v>31</v>
      </c>
    </row>
    <row r="13" spans="2:17" x14ac:dyDescent="0.25">
      <c r="B13" s="21" t="e">
        <f>_xlfn.IFS(Data!K3&lt;&gt;0, Data!K3,Data!K3=0, #N/A)</f>
        <v>#N/A</v>
      </c>
      <c r="C13" s="18">
        <f>COUNTIF(Main[PROJECT],B13)</f>
        <v>0</v>
      </c>
      <c r="D13" s="19" t="e">
        <f t="array" ref="D13">MIN(IF(Main[PROJECT]=B13,Main[START DATE]))</f>
        <v>#N/A</v>
      </c>
      <c r="E13" s="19" t="e">
        <f t="array" ref="E13">MAX(IF(Main[PROJECT]=B13, Main[END DATE]))</f>
        <v>#N/A</v>
      </c>
      <c r="F13" s="18">
        <f>SUMIF(Main[PROJECT], B13, Main[DAYS REQUIRED])</f>
        <v>0</v>
      </c>
      <c r="G13" s="20" t="e">
        <f>AVERAGEIF(Main[PROJECT], B13, Main[PROGRESS])</f>
        <v>#DIV/0!</v>
      </c>
      <c r="H13" s="20" t="str">
        <f t="shared" ref="H13:H21" si="2">IFERROR(1-G13,"")</f>
        <v/>
      </c>
      <c r="J13" s="21" t="str">
        <f>_xlfn.IFS(Data!M3&lt;&gt;0, Data!M3,Data!M3=0, #N/A)</f>
        <v>MCAM</v>
      </c>
      <c r="K13" s="37">
        <f>COUNTIF(Main[ASIGNEE],J13)</f>
        <v>2</v>
      </c>
      <c r="L13" s="37">
        <f>SUMIF(Main[ASIGNEE], J13, Main[DAYS REQUIRED])</f>
        <v>15</v>
      </c>
      <c r="M13" s="38">
        <f>AVERAGEIF(Main[ASIGNEE], J13, Main[PROGRESS])</f>
        <v>1</v>
      </c>
      <c r="N13" s="38">
        <f t="shared" ref="N13:N21" si="3">IFERROR(1-M13,"")</f>
        <v>0</v>
      </c>
      <c r="O13" s="37">
        <f t="shared" ref="O13:O21" si="4">IF(K13&gt;0, $K$3, "")</f>
        <v>31</v>
      </c>
    </row>
    <row r="14" spans="2:17" x14ac:dyDescent="0.25">
      <c r="B14" s="21" t="e">
        <f>_xlfn.IFS(Data!K5&lt;&gt;0, Data!K5,Data!K5=0, #N/A)</f>
        <v>#N/A</v>
      </c>
      <c r="C14" s="18">
        <f>COUNTIF(Main[PROJECT],B14)</f>
        <v>0</v>
      </c>
      <c r="D14" s="19" t="e">
        <f t="array" ref="D14">MIN(IF(Main[PROJECT]=B14,Main[START DATE]))</f>
        <v>#N/A</v>
      </c>
      <c r="E14" s="19" t="e">
        <f t="array" ref="E14">MAX(IF(Main[PROJECT]=B14, Main[END DATE]))</f>
        <v>#N/A</v>
      </c>
      <c r="F14" s="18">
        <f>SUMIF(Main[PROJECT], B14, Main[DAYS REQUIRED])</f>
        <v>0</v>
      </c>
      <c r="G14" s="20" t="e">
        <f>AVERAGEIF(Main[PROJECT], B14, Main[PROGRESS])</f>
        <v>#DIV/0!</v>
      </c>
      <c r="H14" s="20" t="str">
        <f t="shared" si="2"/>
        <v/>
      </c>
      <c r="J14" s="21" t="str">
        <f>_xlfn.IFS(Data!M4&lt;&gt;0, Data!M4,Data!M4=0, #N/A)</f>
        <v>MCGB</v>
      </c>
      <c r="K14" s="39">
        <f>COUNTIF(Main[ASIGNEE],J14)</f>
        <v>2</v>
      </c>
      <c r="L14" s="37">
        <f>SUMIF(Main[ASIGNEE], J14, Main[DAYS REQUIRED])</f>
        <v>15</v>
      </c>
      <c r="M14" s="38">
        <f>AVERAGEIF(Main[ASIGNEE], J14, Main[PROGRESS])</f>
        <v>1</v>
      </c>
      <c r="N14" s="38">
        <f t="shared" si="3"/>
        <v>0</v>
      </c>
      <c r="O14" s="37">
        <f t="shared" si="4"/>
        <v>31</v>
      </c>
    </row>
    <row r="15" spans="2:17" x14ac:dyDescent="0.25">
      <c r="B15" s="21" t="e">
        <f>_xlfn.IFS(Data!K6&lt;&gt;0, Data!K6,Data!K6=0, #N/A)</f>
        <v>#N/A</v>
      </c>
      <c r="C15" s="18">
        <f>COUNTIF(Main[PROJECT],B15)</f>
        <v>0</v>
      </c>
      <c r="D15" s="19" t="e">
        <f t="array" ref="D15">MIN(IF(Main[PROJECT]=B15,Main[START DATE]))</f>
        <v>#N/A</v>
      </c>
      <c r="E15" s="19" t="e">
        <f t="array" ref="E15">MAX(IF(Main[PROJECT]=B15, Main[END DATE]))</f>
        <v>#N/A</v>
      </c>
      <c r="F15" s="18">
        <f>SUMIF(Main[PROJECT], B15, Main[DAYS REQUIRED])</f>
        <v>0</v>
      </c>
      <c r="G15" s="20" t="e">
        <f>AVERAGEIF(Main[PROJECT], B15, Main[PROGRESS])</f>
        <v>#DIV/0!</v>
      </c>
      <c r="H15" s="20" t="str">
        <f t="shared" si="2"/>
        <v/>
      </c>
      <c r="J15" s="21" t="str">
        <f>_xlfn.IFS(Data!M5&lt;&gt;0, Data!M5,Data!M5=0, #N/A)</f>
        <v>MCGC</v>
      </c>
      <c r="K15" s="39">
        <f>COUNTIF(Main[ASIGNEE],J15)</f>
        <v>2</v>
      </c>
      <c r="L15" s="37">
        <f>SUMIF(Main[ASIGNEE], J15, Main[DAYS REQUIRED])</f>
        <v>15</v>
      </c>
      <c r="M15" s="38">
        <f>AVERAGEIF(Main[ASIGNEE], J15, Main[PROGRESS])</f>
        <v>1</v>
      </c>
      <c r="N15" s="38">
        <f t="shared" si="3"/>
        <v>0</v>
      </c>
      <c r="O15" s="37">
        <f t="shared" si="4"/>
        <v>31</v>
      </c>
      <c r="Q15" s="12" t="s">
        <v>42</v>
      </c>
    </row>
    <row r="16" spans="2:17" x14ac:dyDescent="0.25">
      <c r="B16" s="21" t="e">
        <f>_xlfn.IFS(Data!K7&lt;&gt;0, Data!K7,Data!K7=0, #N/A)</f>
        <v>#N/A</v>
      </c>
      <c r="C16" s="18">
        <f>COUNTIF(Main[PROJECT],B16)</f>
        <v>0</v>
      </c>
      <c r="D16" s="19" t="e">
        <f t="array" ref="D16">MIN(IF(Main[PROJECT]=B16,Main[START DATE]))</f>
        <v>#N/A</v>
      </c>
      <c r="E16" s="19" t="e">
        <f t="array" ref="E16">MAX(IF(Main[PROJECT]=B16, Main[END DATE]))</f>
        <v>#N/A</v>
      </c>
      <c r="F16" s="18">
        <f>SUMIF(Main[PROJECT], B16, Main[DAYS REQUIRED])</f>
        <v>0</v>
      </c>
      <c r="G16" s="20" t="e">
        <f>AVERAGEIF(Main[PROJECT], B16, Main[PROGRESS])</f>
        <v>#DIV/0!</v>
      </c>
      <c r="H16" s="20" t="str">
        <f t="shared" si="2"/>
        <v/>
      </c>
      <c r="J16" s="21" t="str">
        <f>_xlfn.IFS(Data!M6&lt;&gt;0, Data!M6,Data!M6=0, #N/A)</f>
        <v>MTN B</v>
      </c>
      <c r="K16" s="39">
        <f>COUNTIF(Main[ASIGNEE],J16)</f>
        <v>2</v>
      </c>
      <c r="L16" s="37">
        <f>SUMIF(Main[ASIGNEE], J16, Main[DAYS REQUIRED])</f>
        <v>15</v>
      </c>
      <c r="M16" s="38">
        <f>AVERAGEIF(Main[ASIGNEE], J16, Main[PROGRESS])</f>
        <v>1</v>
      </c>
      <c r="N16" s="38">
        <f t="shared" si="3"/>
        <v>0</v>
      </c>
      <c r="O16" s="37">
        <f t="shared" si="4"/>
        <v>31</v>
      </c>
    </row>
    <row r="17" spans="2:15" x14ac:dyDescent="0.25">
      <c r="B17" s="21" t="e">
        <f>_xlfn.IFS(Data!K8&lt;&gt;0, Data!K8,Data!K8=0, #N/A)</f>
        <v>#N/A</v>
      </c>
      <c r="C17" s="18">
        <f>COUNTIF(Main[PROJECT],B17)</f>
        <v>0</v>
      </c>
      <c r="D17" s="19" t="e">
        <f t="array" ref="D17">MIN(IF(Main[PROJECT]=B17,Main[START DATE]))</f>
        <v>#N/A</v>
      </c>
      <c r="E17" s="19" t="e">
        <f t="array" ref="E17">MAX(IF(Main[PROJECT]=B17, Main[END DATE]))</f>
        <v>#N/A</v>
      </c>
      <c r="F17" s="18">
        <f>SUMIF(Main[PROJECT], B17, Main[DAYS REQUIRED])</f>
        <v>0</v>
      </c>
      <c r="G17" s="20" t="e">
        <f>AVERAGEIF(Main[PROJECT], B17, Main[PROGRESS])</f>
        <v>#DIV/0!</v>
      </c>
      <c r="H17" s="20" t="str">
        <f t="shared" si="2"/>
        <v/>
      </c>
      <c r="J17" s="21" t="str">
        <f>_xlfn.IFS(Data!M7&lt;&gt;0, Data!M7,Data!M7=0, #N/A)</f>
        <v>CELTIISB</v>
      </c>
      <c r="K17" s="39">
        <f>COUNTIF(Main[ASIGNEE],J17)</f>
        <v>2</v>
      </c>
      <c r="L17" s="37">
        <f>SUMIF(Main[ASIGNEE], J17, Main[DAYS REQUIRED])</f>
        <v>15</v>
      </c>
      <c r="M17" s="38">
        <f>AVERAGEIF(Main[ASIGNEE], J17, Main[PROGRESS])</f>
        <v>1</v>
      </c>
      <c r="N17" s="38">
        <f t="shared" si="3"/>
        <v>0</v>
      </c>
      <c r="O17" s="37">
        <f t="shared" si="4"/>
        <v>31</v>
      </c>
    </row>
    <row r="18" spans="2:15" x14ac:dyDescent="0.25">
      <c r="B18" s="21" t="e">
        <f>_xlfn.IFS(Data!K9&lt;&gt;0, Data!K9,Data!K9=0, #N/A)</f>
        <v>#N/A</v>
      </c>
      <c r="C18" s="18">
        <f>COUNTIF(Main[PROJECT],B18)</f>
        <v>0</v>
      </c>
      <c r="D18" s="19" t="e">
        <f t="array" ref="D18">MIN(IF(Main[PROJECT]=B18,Main[START DATE]))</f>
        <v>#N/A</v>
      </c>
      <c r="E18" s="19" t="e">
        <f t="array" ref="E18">MAX(IF(Main[PROJECT]=B18, Main[END DATE]))</f>
        <v>#N/A</v>
      </c>
      <c r="F18" s="18">
        <f>SUMIF(Main[PROJECT], B18, Main[DAYS REQUIRED])</f>
        <v>0</v>
      </c>
      <c r="G18" s="20" t="e">
        <f>AVERAGEIF(Main[PROJECT], B18, Main[PROGRESS])</f>
        <v>#DIV/0!</v>
      </c>
      <c r="H18" s="20" t="str">
        <f t="shared" si="2"/>
        <v/>
      </c>
      <c r="J18" s="21" t="str">
        <f>_xlfn.IFS(Data!M8&lt;&gt;0, Data!M8,Data!M8=0, #N/A)</f>
        <v>OWNER</v>
      </c>
      <c r="K18" s="39">
        <f>COUNTIF(Main[ASIGNEE],J18)</f>
        <v>2</v>
      </c>
      <c r="L18" s="37">
        <f>SUMIF(Main[ASIGNEE], J18, Main[DAYS REQUIRED])</f>
        <v>2</v>
      </c>
      <c r="M18" s="38">
        <f>AVERAGEIF(Main[ASIGNEE], J18, Main[PROGRESS])</f>
        <v>1</v>
      </c>
      <c r="N18" s="38">
        <f t="shared" si="3"/>
        <v>0</v>
      </c>
      <c r="O18" s="37">
        <f t="shared" si="4"/>
        <v>31</v>
      </c>
    </row>
    <row r="19" spans="2:15" x14ac:dyDescent="0.25">
      <c r="B19" s="21" t="e">
        <f>_xlfn.IFS(Data!K10&lt;&gt;0, Data!K10,Data!K10=0, #N/A)</f>
        <v>#N/A</v>
      </c>
      <c r="C19" s="18">
        <f>COUNTIF(Main[PROJECT],B19)</f>
        <v>0</v>
      </c>
      <c r="D19" s="19" t="e">
        <f t="array" ref="D19">MIN(IF(Main[PROJECT]=B19,Main[START DATE]))</f>
        <v>#N/A</v>
      </c>
      <c r="E19" s="19" t="e">
        <f t="array" ref="E19">MAX(IF(Main[PROJECT]=B19, Main[END DATE]))</f>
        <v>#N/A</v>
      </c>
      <c r="F19" s="18">
        <f>SUMIF(Main[PROJECT], B19, Main[DAYS REQUIRED])</f>
        <v>0</v>
      </c>
      <c r="G19" s="20" t="e">
        <f>AVERAGEIF(Main[PROJECT], B19, Main[PROGRESS])</f>
        <v>#DIV/0!</v>
      </c>
      <c r="H19" s="20" t="str">
        <f t="shared" si="2"/>
        <v/>
      </c>
      <c r="J19" s="21" t="str">
        <f>_xlfn.IFS(Data!M9&lt;&gt;0, Data!M9,Data!M9=0, #N/A)</f>
        <v>DEV</v>
      </c>
      <c r="K19" s="39">
        <f>COUNTIF(Main[ASIGNEE],J19)</f>
        <v>7</v>
      </c>
      <c r="L19" s="37">
        <f>SUMIF(Main[ASIGNEE], J19, Main[DAYS REQUIRED])</f>
        <v>20</v>
      </c>
      <c r="M19" s="38">
        <f>AVERAGEIF(Main[ASIGNEE], J19, Main[PROGRESS])</f>
        <v>0.5</v>
      </c>
      <c r="N19" s="38">
        <f t="shared" si="3"/>
        <v>0.5</v>
      </c>
      <c r="O19" s="37">
        <f t="shared" si="4"/>
        <v>31</v>
      </c>
    </row>
    <row r="20" spans="2:15" x14ac:dyDescent="0.25">
      <c r="B20" s="21" t="e">
        <f>_xlfn.IFS(Data!K11&lt;&gt;0, Data!K11,Data!K11=0, #N/A)</f>
        <v>#N/A</v>
      </c>
      <c r="C20" s="18">
        <f>COUNTIF(Main[PROJECT],B20)</f>
        <v>0</v>
      </c>
      <c r="D20" s="19" t="e">
        <f t="array" ref="D20">MIN(IF(Main[PROJECT]=B20,Main[START DATE]))</f>
        <v>#N/A</v>
      </c>
      <c r="E20" s="19" t="e">
        <f t="array" ref="E20">MAX(IF(Main[PROJECT]=B20, Main[END DATE]))</f>
        <v>#N/A</v>
      </c>
      <c r="F20" s="18">
        <f>SUMIF(Main[PROJECT], B20, Main[DAYS REQUIRED])</f>
        <v>0</v>
      </c>
      <c r="G20" s="20" t="e">
        <f>AVERAGEIF(Main[PROJECT], B20, Main[PROGRESS])</f>
        <v>#DIV/0!</v>
      </c>
      <c r="H20" s="20" t="str">
        <f t="shared" si="2"/>
        <v/>
      </c>
      <c r="J20" s="21" t="e">
        <f>_xlfn.IFS(Data!M10&lt;&gt;0, Data!M10,Data!M10=0, #N/A)</f>
        <v>#N/A</v>
      </c>
      <c r="K20" s="39">
        <f>COUNTIF(Main[ASIGNEE],J20)</f>
        <v>0</v>
      </c>
      <c r="L20" s="37">
        <f>SUMIF(Main[ASIGNEE], J20, Main[DAYS REQUIRED])</f>
        <v>0</v>
      </c>
      <c r="M20" s="38" t="e">
        <f>AVERAGEIF(Main[ASIGNEE], J20, Main[PROGRESS])</f>
        <v>#DIV/0!</v>
      </c>
      <c r="N20" s="38" t="str">
        <f t="shared" si="3"/>
        <v/>
      </c>
      <c r="O20" s="37" t="str">
        <f t="shared" si="4"/>
        <v/>
      </c>
    </row>
    <row r="21" spans="2:15" x14ac:dyDescent="0.25">
      <c r="B21" s="21"/>
      <c r="C21" s="18">
        <f>COUNTIF(Main[PROJECT],B21)</f>
        <v>0</v>
      </c>
      <c r="D21" s="19">
        <f t="array" ref="D21">MIN(IF(Main[PROJECT]=B21,Main[START DATE]))</f>
        <v>0</v>
      </c>
      <c r="E21" s="19">
        <f t="array" ref="E21">MAX(IF(Main[PROJECT]=B21, Main[END DATE]))</f>
        <v>0</v>
      </c>
      <c r="F21" s="18">
        <f>SUMIF(Main[PROJECT], B21, Main[DAYS REQUIRED])</f>
        <v>0</v>
      </c>
      <c r="G21" s="20" t="e">
        <f>AVERAGEIF(Main[PROJECT], B21, Main[PROGRESS])</f>
        <v>#DIV/0!</v>
      </c>
      <c r="H21" s="20" t="str">
        <f t="shared" si="2"/>
        <v/>
      </c>
      <c r="J21" s="21" t="e">
        <f>_xlfn.IFS(Data!M11&lt;&gt;0, Data!M11,Data!M11=0, #N/A)</f>
        <v>#N/A</v>
      </c>
      <c r="K21" s="39">
        <f>COUNTIF(Main[ASIGNEE],J21)</f>
        <v>0</v>
      </c>
      <c r="L21" s="37">
        <f>SUMIF(Main[ASIGNEE], J21, Main[DAYS REQUIRED])</f>
        <v>0</v>
      </c>
      <c r="M21" s="38" t="e">
        <f>AVERAGEIF(Main[ASIGNEE], J21, Main[PROGRESS])</f>
        <v>#DIV/0!</v>
      </c>
      <c r="N21" s="38" t="str">
        <f t="shared" si="3"/>
        <v/>
      </c>
      <c r="O21" s="37" t="str">
        <f t="shared" si="4"/>
        <v/>
      </c>
    </row>
    <row r="25" spans="2:15" ht="15.75" x14ac:dyDescent="0.25">
      <c r="J25" s="14" t="s">
        <v>7</v>
      </c>
      <c r="K25" s="14" t="s">
        <v>12</v>
      </c>
      <c r="L25" s="14" t="s">
        <v>26</v>
      </c>
      <c r="M25" s="14" t="s">
        <v>18</v>
      </c>
      <c r="N25" s="14" t="s">
        <v>15</v>
      </c>
      <c r="O25" s="14" t="s">
        <v>27</v>
      </c>
    </row>
    <row r="26" spans="2:15" x14ac:dyDescent="0.25">
      <c r="J26" s="36" t="s">
        <v>24</v>
      </c>
      <c r="K26" s="37">
        <f>COUNTA(Main[TASK])</f>
        <v>14</v>
      </c>
      <c r="L26" s="37">
        <f>SUM(Main[DAYS REQUIRED])</f>
        <v>112</v>
      </c>
      <c r="M26" s="38">
        <f>AVERAGE(Main[PROGRESS])</f>
        <v>0.83333333333333337</v>
      </c>
      <c r="N26" s="38">
        <f>IFERROR(1-M26,"")</f>
        <v>0.16666666666666663</v>
      </c>
      <c r="O26" s="37">
        <f>COUNTIF(K27:K36, "&gt;0")*$K$3</f>
        <v>248</v>
      </c>
    </row>
    <row r="27" spans="2:15" x14ac:dyDescent="0.25">
      <c r="J27" s="21" t="str">
        <f>_xlfn.IFS(Data!M2&lt;&gt;0, Data!M2,Data!M2=0, #N/A)</f>
        <v>MCCI</v>
      </c>
      <c r="K27" s="37">
        <f>COUNTIF(Main[ASIGNEE],J27)</f>
        <v>2</v>
      </c>
      <c r="L27" s="37">
        <f>SUMIF(Main[ASIGNEE], J27, Main[DAYS REQUIRED])</f>
        <v>15</v>
      </c>
      <c r="M27" s="38">
        <f>AVERAGEIF(Main[ASIGNEE], J27, Main[PROGRESS])</f>
        <v>1</v>
      </c>
      <c r="N27" s="38">
        <f t="shared" ref="N27:N36" si="5">IFERROR(1-M27,"")</f>
        <v>0</v>
      </c>
      <c r="O27" s="37">
        <f>IF(K27&gt;0, $K$3, "")</f>
        <v>31</v>
      </c>
    </row>
    <row r="28" spans="2:15" x14ac:dyDescent="0.25">
      <c r="J28" s="21" t="str">
        <f>_xlfn.IFS(Data!M3&lt;&gt;0, Data!M3,Data!M3=0, #N/A)</f>
        <v>MCAM</v>
      </c>
      <c r="K28" s="37">
        <f>COUNTIF(Main[ASIGNEE],J28)</f>
        <v>2</v>
      </c>
      <c r="L28" s="37">
        <f>SUMIF(Main[ASIGNEE], J28, Main[DAYS REQUIRED])</f>
        <v>15</v>
      </c>
      <c r="M28" s="38">
        <f>AVERAGEIF(Main[ASIGNEE], J28, Main[PROGRESS])</f>
        <v>1</v>
      </c>
      <c r="N28" s="38">
        <f t="shared" si="5"/>
        <v>0</v>
      </c>
      <c r="O28" s="37">
        <f t="shared" ref="O28:O36" si="6">IF(K28&gt;0, $K$3, "")</f>
        <v>31</v>
      </c>
    </row>
    <row r="29" spans="2:15" x14ac:dyDescent="0.25">
      <c r="J29" s="21" t="str">
        <f>_xlfn.IFS(Data!M4&lt;&gt;0, Data!M4,Data!M4=0, #N/A)</f>
        <v>MCGB</v>
      </c>
      <c r="K29" s="39">
        <f>COUNTIF(Main[ASIGNEE],J29)</f>
        <v>2</v>
      </c>
      <c r="L29" s="37">
        <f>SUMIF(Main[ASIGNEE], J29, Main[DAYS REQUIRED])</f>
        <v>15</v>
      </c>
      <c r="M29" s="38">
        <f>AVERAGEIF(Main[ASIGNEE], J29, Main[PROGRESS])</f>
        <v>1</v>
      </c>
      <c r="N29" s="38">
        <f t="shared" si="5"/>
        <v>0</v>
      </c>
      <c r="O29" s="37">
        <f t="shared" si="6"/>
        <v>31</v>
      </c>
    </row>
    <row r="30" spans="2:15" x14ac:dyDescent="0.25">
      <c r="J30" s="21" t="str">
        <f>_xlfn.IFS(Data!M5&lt;&gt;0, Data!M5,Data!M5=0, #N/A)</f>
        <v>MCGC</v>
      </c>
      <c r="K30" s="39">
        <f>COUNTIF(Main[ASIGNEE],J30)</f>
        <v>2</v>
      </c>
      <c r="L30" s="37">
        <f>SUMIF(Main[ASIGNEE], J30, Main[DAYS REQUIRED])</f>
        <v>15</v>
      </c>
      <c r="M30" s="38">
        <f>AVERAGEIF(Main[ASIGNEE], J30, Main[PROGRESS])</f>
        <v>1</v>
      </c>
      <c r="N30" s="38">
        <f t="shared" si="5"/>
        <v>0</v>
      </c>
      <c r="O30" s="37">
        <f t="shared" si="6"/>
        <v>31</v>
      </c>
    </row>
    <row r="31" spans="2:15" x14ac:dyDescent="0.25">
      <c r="J31" s="21" t="str">
        <f>_xlfn.IFS(Data!M6&lt;&gt;0, Data!M6,Data!M6=0, #N/A)</f>
        <v>MTN B</v>
      </c>
      <c r="K31" s="39">
        <f>COUNTIF(Main[ASIGNEE],J31)</f>
        <v>2</v>
      </c>
      <c r="L31" s="37">
        <f>SUMIF(Main[ASIGNEE], J31, Main[DAYS REQUIRED])</f>
        <v>15</v>
      </c>
      <c r="M31" s="38">
        <f>AVERAGEIF(Main[ASIGNEE], J31, Main[PROGRESS])</f>
        <v>1</v>
      </c>
      <c r="N31" s="38">
        <f t="shared" si="5"/>
        <v>0</v>
      </c>
      <c r="O31" s="37">
        <f t="shared" si="6"/>
        <v>31</v>
      </c>
    </row>
    <row r="32" spans="2:15" x14ac:dyDescent="0.25">
      <c r="J32" s="21" t="str">
        <f>_xlfn.IFS(Data!M7&lt;&gt;0, Data!M7,Data!M7=0, #N/A)</f>
        <v>CELTIISB</v>
      </c>
      <c r="K32" s="39">
        <f>COUNTIF(Main[ASIGNEE],J32)</f>
        <v>2</v>
      </c>
      <c r="L32" s="37">
        <f>SUMIF(Main[ASIGNEE], J32, Main[DAYS REQUIRED])</f>
        <v>15</v>
      </c>
      <c r="M32" s="38">
        <f>AVERAGEIF(Main[ASIGNEE], J32, Main[PROGRESS])</f>
        <v>1</v>
      </c>
      <c r="N32" s="38">
        <f t="shared" si="5"/>
        <v>0</v>
      </c>
      <c r="O32" s="37">
        <f t="shared" si="6"/>
        <v>31</v>
      </c>
    </row>
    <row r="33" spans="10:15" x14ac:dyDescent="0.25">
      <c r="J33" s="21" t="str">
        <f>_xlfn.IFS(Data!M8&lt;&gt;0, Data!M8,Data!M8=0, #N/A)</f>
        <v>OWNER</v>
      </c>
      <c r="K33" s="39">
        <f>COUNTIF(Main[ASIGNEE],J33)</f>
        <v>2</v>
      </c>
      <c r="L33" s="37">
        <f>SUMIF(Main[ASIGNEE], J33, Main[DAYS REQUIRED])</f>
        <v>2</v>
      </c>
      <c r="M33" s="38">
        <f>AVERAGEIF(Main[ASIGNEE], J33, Main[PROGRESS])</f>
        <v>1</v>
      </c>
      <c r="N33" s="38">
        <f t="shared" si="5"/>
        <v>0</v>
      </c>
      <c r="O33" s="37">
        <f t="shared" si="6"/>
        <v>31</v>
      </c>
    </row>
    <row r="34" spans="10:15" x14ac:dyDescent="0.25">
      <c r="J34" s="21" t="str">
        <f>_xlfn.IFS(Data!M9&lt;&gt;0, Data!M9,Data!M9=0, #N/A)</f>
        <v>DEV</v>
      </c>
      <c r="K34" s="39">
        <f>COUNTIF(Main[ASIGNEE],J34)</f>
        <v>7</v>
      </c>
      <c r="L34" s="37">
        <f>SUMIF(Main[ASIGNEE], J34, Main[DAYS REQUIRED])</f>
        <v>20</v>
      </c>
      <c r="M34" s="38">
        <f>AVERAGEIF(Main[ASIGNEE], J34, Main[PROGRESS])</f>
        <v>0.5</v>
      </c>
      <c r="N34" s="38">
        <f t="shared" si="5"/>
        <v>0.5</v>
      </c>
      <c r="O34" s="37">
        <f t="shared" si="6"/>
        <v>31</v>
      </c>
    </row>
    <row r="35" spans="10:15" x14ac:dyDescent="0.25">
      <c r="J35" s="21" t="str">
        <f>_xlfn.IFS(Data!M25&lt;&gt;0, Data!M25,Data!M25=0, #N/A)</f>
        <v/>
      </c>
      <c r="K35" s="39">
        <f>COUNTIF(Main[ASIGNEE],J35)</f>
        <v>0</v>
      </c>
      <c r="L35" s="37">
        <f>SUMIF(Main[ASIGNEE], J35, Main[DAYS REQUIRED])</f>
        <v>0</v>
      </c>
      <c r="M35" s="38" t="e">
        <f>AVERAGEIF(Main[ASIGNEE], J35, Main[PROGRESS])</f>
        <v>#DIV/0!</v>
      </c>
      <c r="N35" s="38" t="str">
        <f t="shared" si="5"/>
        <v/>
      </c>
      <c r="O35" s="37" t="str">
        <f t="shared" si="6"/>
        <v/>
      </c>
    </row>
    <row r="36" spans="10:15" x14ac:dyDescent="0.25">
      <c r="J36" s="21" t="str">
        <f>_xlfn.IFS(Data!M26&lt;&gt;0, Data!M26,Data!M26=0, #N/A)</f>
        <v/>
      </c>
      <c r="K36" s="39">
        <f>COUNTIF(Main[ASIGNEE],J36)</f>
        <v>0</v>
      </c>
      <c r="L36" s="37">
        <f>SUMIF(Main[ASIGNEE], J36, Main[DAYS REQUIRED])</f>
        <v>0</v>
      </c>
      <c r="M36" s="38" t="e">
        <f>AVERAGEIF(Main[ASIGNEE], J36, Main[PROGRESS])</f>
        <v>#DIV/0!</v>
      </c>
      <c r="N36" s="38" t="str">
        <f t="shared" si="5"/>
        <v/>
      </c>
      <c r="O36" s="37" t="str">
        <f t="shared" si="6"/>
        <v/>
      </c>
    </row>
  </sheetData>
  <conditionalFormatting sqref="B11">
    <cfRule type="expression" dxfId="7" priority="11">
      <formula>IF($C11=0,TRUE,FALSE)</formula>
    </cfRule>
  </conditionalFormatting>
  <conditionalFormatting sqref="C11:H21">
    <cfRule type="expression" dxfId="6" priority="12">
      <formula>IF($C11=0,TRUE,FALSE)</formula>
    </cfRule>
  </conditionalFormatting>
  <conditionalFormatting sqref="J11">
    <cfRule type="expression" dxfId="5" priority="5">
      <formula>IF($C11=0,TRUE,FALSE)</formula>
    </cfRule>
  </conditionalFormatting>
  <conditionalFormatting sqref="J26">
    <cfRule type="expression" dxfId="4" priority="1">
      <formula>IF($C26=0,TRUE,FALSE)</formula>
    </cfRule>
  </conditionalFormatting>
  <conditionalFormatting sqref="K11:O21">
    <cfRule type="expression" dxfId="3" priority="4">
      <formula>IF($C11=0,TRUE,FALSE)</formula>
    </cfRule>
  </conditionalFormatting>
  <conditionalFormatting sqref="K26:O36">
    <cfRule type="expression" dxfId="2" priority="2">
      <formula>IF($C26=0,TRUE,FALSE)</formula>
    </cfRule>
  </conditionalFormatting>
  <pageMargins left="0.7" right="0.7" top="0.75" bottom="0.75" header="0.3" footer="0.3"/>
  <ignoredErrors>
    <ignoredError sqref="D19:G2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"/>
  <sheetViews>
    <sheetView zoomScale="80" zoomScaleNormal="80" workbookViewId="0">
      <selection activeCell="L25" sqref="L25"/>
    </sheetView>
  </sheetViews>
  <sheetFormatPr baseColWidth="10" defaultColWidth="8.85546875" defaultRowHeight="12" x14ac:dyDescent="0.2"/>
  <cols>
    <col min="1" max="1" width="4.42578125" style="24" customWidth="1"/>
    <col min="2" max="2" width="48.85546875" style="24" customWidth="1"/>
    <col min="3" max="3" width="3" style="24" customWidth="1"/>
    <col min="4" max="4" width="3.140625" style="24" customWidth="1"/>
    <col min="5" max="5" width="18.42578125" style="24" customWidth="1"/>
    <col min="6" max="6" width="17.140625" style="24" customWidth="1"/>
    <col min="7" max="7" width="12.42578125" style="24" customWidth="1"/>
    <col min="8" max="8" width="12.140625" style="24" customWidth="1"/>
    <col min="9" max="9" width="10.42578125" style="24" customWidth="1"/>
    <col min="10" max="10" width="14.5703125" style="24" customWidth="1"/>
    <col min="11" max="11" width="3.85546875" style="24" customWidth="1"/>
    <col min="12" max="12" width="111.140625" style="24" customWidth="1"/>
    <col min="13" max="16384" width="8.85546875" style="24"/>
  </cols>
  <sheetData>
    <row r="1" spans="1:12" x14ac:dyDescent="0.2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43.35" customHeigh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7.7" customHeigh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8.4499999999999993" customHeigh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ht="19.350000000000001" customHeight="1" x14ac:dyDescent="0.2">
      <c r="A5" s="23"/>
      <c r="B5" s="23"/>
      <c r="C5" s="23"/>
      <c r="D5" s="23"/>
      <c r="E5" s="45" t="s">
        <v>20</v>
      </c>
      <c r="F5" s="45"/>
      <c r="G5" s="23"/>
      <c r="H5" s="23"/>
      <c r="I5" s="31" t="s">
        <v>22</v>
      </c>
      <c r="J5" s="32">
        <f>Data!O2</f>
        <v>45728</v>
      </c>
      <c r="K5" s="23"/>
      <c r="L5" s="23"/>
    </row>
    <row r="6" spans="1:12" ht="9.6" customHeight="1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ht="5.45" customHeight="1" x14ac:dyDescent="0.2">
      <c r="A7" s="23"/>
      <c r="B7" s="23"/>
      <c r="C7" s="23"/>
      <c r="D7" s="23"/>
      <c r="E7" s="30"/>
      <c r="F7" s="30"/>
      <c r="G7" s="30"/>
      <c r="H7" s="30"/>
      <c r="I7" s="30"/>
      <c r="J7" s="30"/>
      <c r="K7" s="23"/>
      <c r="L7" s="23"/>
    </row>
    <row r="8" spans="1:12" x14ac:dyDescent="0.2">
      <c r="A8" s="23"/>
      <c r="B8" s="23"/>
      <c r="C8" s="23"/>
      <c r="D8" s="23"/>
      <c r="E8" s="25" t="s">
        <v>0</v>
      </c>
      <c r="F8" s="25" t="s">
        <v>1</v>
      </c>
      <c r="G8" s="25" t="s">
        <v>2</v>
      </c>
      <c r="H8" s="25" t="s">
        <v>5</v>
      </c>
      <c r="I8" s="25" t="s">
        <v>6</v>
      </c>
      <c r="J8" s="25" t="s">
        <v>21</v>
      </c>
      <c r="K8" s="23"/>
      <c r="L8" s="23"/>
    </row>
    <row r="9" spans="1:12" x14ac:dyDescent="0.2">
      <c r="A9" s="23"/>
      <c r="B9" s="23"/>
      <c r="C9" s="23"/>
      <c r="D9" s="23"/>
      <c r="E9" s="26" t="str">
        <f>Data!S14</f>
        <v/>
      </c>
      <c r="F9" s="26" t="str">
        <f>Data!T14</f>
        <v/>
      </c>
      <c r="G9" s="26" t="str">
        <f>Data!U14</f>
        <v/>
      </c>
      <c r="H9" s="27" t="str">
        <f>Data!X14</f>
        <v/>
      </c>
      <c r="I9" s="28" t="str">
        <f>Data!Y14</f>
        <v/>
      </c>
      <c r="J9" s="29" t="e">
        <f>$J$5-H9</f>
        <v>#VALUE!</v>
      </c>
      <c r="K9" s="23"/>
      <c r="L9" s="23"/>
    </row>
    <row r="10" spans="1:12" x14ac:dyDescent="0.2">
      <c r="A10" s="23"/>
      <c r="B10" s="23"/>
      <c r="C10" s="23"/>
      <c r="D10" s="23"/>
      <c r="E10" s="26" t="str">
        <f>Data!S15</f>
        <v/>
      </c>
      <c r="F10" s="26" t="str">
        <f>Data!T15</f>
        <v/>
      </c>
      <c r="G10" s="26" t="str">
        <f>Data!U15</f>
        <v/>
      </c>
      <c r="H10" s="27" t="str">
        <f>Data!X15</f>
        <v/>
      </c>
      <c r="I10" s="28" t="str">
        <f>Data!Y15</f>
        <v/>
      </c>
      <c r="J10" s="29" t="e">
        <f t="shared" ref="J10:J14" si="0">$J$5-H10</f>
        <v>#VALUE!</v>
      </c>
      <c r="K10" s="23"/>
      <c r="L10" s="23"/>
    </row>
    <row r="11" spans="1:12" x14ac:dyDescent="0.2">
      <c r="A11" s="23"/>
      <c r="B11" s="23"/>
      <c r="C11" s="23"/>
      <c r="D11" s="23"/>
      <c r="E11" s="26" t="str">
        <f>Data!S16</f>
        <v/>
      </c>
      <c r="F11" s="26" t="str">
        <f>Data!T16</f>
        <v/>
      </c>
      <c r="G11" s="26" t="str">
        <f>Data!U16</f>
        <v/>
      </c>
      <c r="H11" s="27" t="str">
        <f>Data!X16</f>
        <v/>
      </c>
      <c r="I11" s="28" t="str">
        <f>Data!Y16</f>
        <v/>
      </c>
      <c r="J11" s="29" t="e">
        <f t="shared" si="0"/>
        <v>#VALUE!</v>
      </c>
      <c r="K11" s="23"/>
      <c r="L11" s="23"/>
    </row>
    <row r="12" spans="1:12" x14ac:dyDescent="0.2">
      <c r="A12" s="23"/>
      <c r="B12" s="23"/>
      <c r="C12" s="23"/>
      <c r="D12" s="23"/>
      <c r="E12" s="26" t="str">
        <f>Data!S17</f>
        <v/>
      </c>
      <c r="F12" s="26" t="str">
        <f>Data!T17</f>
        <v/>
      </c>
      <c r="G12" s="26" t="str">
        <f>Data!U17</f>
        <v/>
      </c>
      <c r="H12" s="27" t="str">
        <f>Data!X17</f>
        <v/>
      </c>
      <c r="I12" s="28" t="str">
        <f>Data!Y17</f>
        <v/>
      </c>
      <c r="J12" s="29" t="e">
        <f t="shared" si="0"/>
        <v>#VALUE!</v>
      </c>
      <c r="K12" s="23"/>
      <c r="L12" s="23"/>
    </row>
    <row r="13" spans="1:12" x14ac:dyDescent="0.2">
      <c r="A13" s="23"/>
      <c r="B13" s="23"/>
      <c r="C13" s="23"/>
      <c r="D13" s="23"/>
      <c r="E13" s="26" t="str">
        <f>Data!S18</f>
        <v/>
      </c>
      <c r="F13" s="26" t="str">
        <f>Data!T18</f>
        <v/>
      </c>
      <c r="G13" s="26" t="str">
        <f>Data!U18</f>
        <v/>
      </c>
      <c r="H13" s="27" t="str">
        <f>Data!X18</f>
        <v/>
      </c>
      <c r="I13" s="28" t="str">
        <f>Data!Y18</f>
        <v/>
      </c>
      <c r="J13" s="29" t="e">
        <f t="shared" si="0"/>
        <v>#VALUE!</v>
      </c>
      <c r="K13" s="23"/>
      <c r="L13" s="23"/>
    </row>
    <row r="14" spans="1:12" x14ac:dyDescent="0.2">
      <c r="A14" s="23"/>
      <c r="B14" s="23"/>
      <c r="C14" s="23"/>
      <c r="D14" s="23"/>
      <c r="E14" s="26" t="str">
        <f>Data!S19</f>
        <v/>
      </c>
      <c r="F14" s="26" t="str">
        <f>Data!T19</f>
        <v/>
      </c>
      <c r="G14" s="26" t="str">
        <f>Data!U19</f>
        <v/>
      </c>
      <c r="H14" s="27" t="str">
        <f>Data!X19</f>
        <v/>
      </c>
      <c r="I14" s="28" t="str">
        <f>Data!Y19</f>
        <v/>
      </c>
      <c r="J14" s="29" t="e">
        <f t="shared" si="0"/>
        <v>#VALUE!</v>
      </c>
      <c r="K14" s="23"/>
      <c r="L14" s="23"/>
    </row>
    <row r="15" spans="1:12" ht="6" customHeight="1" x14ac:dyDescent="0.2">
      <c r="A15" s="23"/>
      <c r="B15" s="23"/>
      <c r="C15" s="23"/>
      <c r="D15" s="23"/>
      <c r="E15" s="30"/>
      <c r="F15" s="30"/>
      <c r="G15" s="30"/>
      <c r="H15" s="30"/>
      <c r="I15" s="30"/>
      <c r="J15" s="30"/>
      <c r="K15" s="23"/>
      <c r="L15" s="23"/>
    </row>
    <row r="16" spans="1:12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4.3499999999999996" customHeight="1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2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2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2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2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2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2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2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2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2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spans="1:12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2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2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spans="1:12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 ht="18.600000000000001" customHeight="1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 ht="101.45" customHeight="1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</sheetData>
  <mergeCells count="1">
    <mergeCell ref="E5:F5"/>
  </mergeCells>
  <conditionalFormatting sqref="E9:J14">
    <cfRule type="expression" dxfId="1" priority="1">
      <formula>AND($J9&gt;0,$J9&lt;4)</formula>
    </cfRule>
    <cfRule type="expression" dxfId="0" priority="2">
      <formula>$J9&gt;3</formula>
    </cfRule>
  </conditionalFormatting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MCB</dc:creator>
  <cp:lastModifiedBy>Serge YOVO AYI</cp:lastModifiedBy>
  <cp:lastPrinted>2022-10-25T21:55:41Z</cp:lastPrinted>
  <dcterms:created xsi:type="dcterms:W3CDTF">2022-10-25T13:29:49Z</dcterms:created>
  <dcterms:modified xsi:type="dcterms:W3CDTF">2025-08-08T12:53:43Z</dcterms:modified>
</cp:coreProperties>
</file>