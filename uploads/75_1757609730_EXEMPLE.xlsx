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U:\CV AGENCE\Augustine\2025\SDTC 2025\"/>
    </mc:Choice>
  </mc:AlternateContent>
  <bookViews>
    <workbookView xWindow="-120" yWindow="-120" windowWidth="19440" windowHeight="15150" activeTab="3"/>
  </bookViews>
  <sheets>
    <sheet name="Salaire moyen" sheetId="6" r:id="rId1"/>
    <sheet name="Brute allocat°" sheetId="2" r:id="rId2"/>
    <sheet name="Nette allocat°" sheetId="3" r:id="rId3"/>
    <sheet name="Récap SDTCP" sheetId="4" r:id="rId4"/>
    <sheet name="Base" sheetId="5" state="hidden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6" l="1"/>
  <c r="L4" i="3"/>
  <c r="Q5" i="6" l="1"/>
  <c r="P5" i="6"/>
  <c r="N7" i="2" l="1"/>
  <c r="M7" i="2"/>
  <c r="E51" i="4"/>
  <c r="O8" i="6" l="1"/>
  <c r="O9" i="6"/>
  <c r="O10" i="6"/>
  <c r="O11" i="6"/>
  <c r="O12" i="6"/>
  <c r="O6" i="6" l="1"/>
  <c r="O7" i="6"/>
  <c r="L5" i="3" l="1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A7" i="2" l="1"/>
  <c r="O7" i="2" s="1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O46" i="2" s="1"/>
  <c r="P46" i="2" s="1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7" i="2" l="1"/>
  <c r="I4" i="3" s="1"/>
  <c r="C14" i="4"/>
  <c r="O42" i="2"/>
  <c r="P42" i="2" s="1"/>
  <c r="A40" i="3"/>
  <c r="B40" i="3" s="1"/>
  <c r="E40" i="3" s="1"/>
  <c r="F40" i="3" s="1"/>
  <c r="G40" i="3" s="1"/>
  <c r="A36" i="3"/>
  <c r="B36" i="3" s="1"/>
  <c r="E36" i="3" s="1"/>
  <c r="F36" i="3" s="1"/>
  <c r="G36" i="3" s="1"/>
  <c r="O38" i="2"/>
  <c r="P38" i="2" s="1"/>
  <c r="A32" i="3"/>
  <c r="B32" i="3" s="1"/>
  <c r="E32" i="3" s="1"/>
  <c r="F32" i="3" s="1"/>
  <c r="G32" i="3" s="1"/>
  <c r="O34" i="2"/>
  <c r="P34" i="2" s="1"/>
  <c r="O31" i="2"/>
  <c r="P31" i="2" s="1"/>
  <c r="A28" i="3"/>
  <c r="B28" i="3" s="1"/>
  <c r="E28" i="3" s="1"/>
  <c r="F28" i="3" s="1"/>
  <c r="G28" i="3" s="1"/>
  <c r="A24" i="3"/>
  <c r="B24" i="3" s="1"/>
  <c r="E24" i="3" s="1"/>
  <c r="F24" i="3" s="1"/>
  <c r="G24" i="3" s="1"/>
  <c r="O27" i="2"/>
  <c r="P27" i="2" s="1"/>
  <c r="A20" i="3"/>
  <c r="B20" i="3" s="1"/>
  <c r="E20" i="3" s="1"/>
  <c r="F20" i="3" s="1"/>
  <c r="G20" i="3" s="1"/>
  <c r="O23" i="2"/>
  <c r="P23" i="2" s="1"/>
  <c r="A16" i="3"/>
  <c r="B16" i="3" s="1"/>
  <c r="E16" i="3" s="1"/>
  <c r="F16" i="3" s="1"/>
  <c r="G16" i="3" s="1"/>
  <c r="O19" i="2"/>
  <c r="P19" i="2" s="1"/>
  <c r="A12" i="3"/>
  <c r="B12" i="3" s="1"/>
  <c r="E12" i="3" s="1"/>
  <c r="F12" i="3" s="1"/>
  <c r="G12" i="3" s="1"/>
  <c r="O15" i="2"/>
  <c r="P15" i="2" s="1"/>
  <c r="A8" i="3"/>
  <c r="B8" i="3" s="1"/>
  <c r="E8" i="3" s="1"/>
  <c r="F8" i="3" s="1"/>
  <c r="G8" i="3" s="1"/>
  <c r="O11" i="2"/>
  <c r="P11" i="2" s="1"/>
  <c r="O45" i="2"/>
  <c r="P45" i="2" s="1"/>
  <c r="A43" i="3"/>
  <c r="B43" i="3" s="1"/>
  <c r="E43" i="3" s="1"/>
  <c r="F43" i="3" s="1"/>
  <c r="G43" i="3" s="1"/>
  <c r="A39" i="3"/>
  <c r="B39" i="3" s="1"/>
  <c r="E39" i="3" s="1"/>
  <c r="F39" i="3" s="1"/>
  <c r="G39" i="3" s="1"/>
  <c r="O41" i="2"/>
  <c r="P41" i="2" s="1"/>
  <c r="A35" i="3"/>
  <c r="B35" i="3" s="1"/>
  <c r="E35" i="3" s="1"/>
  <c r="F35" i="3" s="1"/>
  <c r="G35" i="3" s="1"/>
  <c r="O37" i="2"/>
  <c r="P37" i="2" s="1"/>
  <c r="A31" i="3"/>
  <c r="B31" i="3" s="1"/>
  <c r="E31" i="3" s="1"/>
  <c r="F31" i="3" s="1"/>
  <c r="G31" i="3" s="1"/>
  <c r="O33" i="2"/>
  <c r="P33" i="2" s="1"/>
  <c r="A27" i="3"/>
  <c r="B27" i="3" s="1"/>
  <c r="E27" i="3" s="1"/>
  <c r="F27" i="3" s="1"/>
  <c r="G27" i="3" s="1"/>
  <c r="O30" i="2"/>
  <c r="P30" i="2" s="1"/>
  <c r="A23" i="3"/>
  <c r="B23" i="3" s="1"/>
  <c r="E23" i="3" s="1"/>
  <c r="F23" i="3" s="1"/>
  <c r="G23" i="3" s="1"/>
  <c r="O26" i="2"/>
  <c r="P26" i="2" s="1"/>
  <c r="A19" i="3"/>
  <c r="B19" i="3" s="1"/>
  <c r="E19" i="3" s="1"/>
  <c r="F19" i="3" s="1"/>
  <c r="G19" i="3" s="1"/>
  <c r="O22" i="2"/>
  <c r="P22" i="2" s="1"/>
  <c r="A15" i="3"/>
  <c r="B15" i="3" s="1"/>
  <c r="E15" i="3" s="1"/>
  <c r="F15" i="3" s="1"/>
  <c r="G15" i="3" s="1"/>
  <c r="O18" i="2"/>
  <c r="P18" i="2" s="1"/>
  <c r="A11" i="3"/>
  <c r="B11" i="3" s="1"/>
  <c r="E11" i="3" s="1"/>
  <c r="F11" i="3" s="1"/>
  <c r="G11" i="3" s="1"/>
  <c r="O14" i="2"/>
  <c r="P14" i="2" s="1"/>
  <c r="A42" i="3"/>
  <c r="B42" i="3" s="1"/>
  <c r="E42" i="3" s="1"/>
  <c r="F42" i="3" s="1"/>
  <c r="G42" i="3" s="1"/>
  <c r="O44" i="2"/>
  <c r="P44" i="2" s="1"/>
  <c r="O40" i="2"/>
  <c r="P40" i="2" s="1"/>
  <c r="A38" i="3"/>
  <c r="B38" i="3" s="1"/>
  <c r="E38" i="3" s="1"/>
  <c r="F38" i="3" s="1"/>
  <c r="G38" i="3" s="1"/>
  <c r="O36" i="2"/>
  <c r="P36" i="2" s="1"/>
  <c r="A34" i="3"/>
  <c r="B34" i="3" s="1"/>
  <c r="E34" i="3" s="1"/>
  <c r="F34" i="3" s="1"/>
  <c r="G34" i="3" s="1"/>
  <c r="A30" i="3"/>
  <c r="B30" i="3" s="1"/>
  <c r="E30" i="3" s="1"/>
  <c r="F30" i="3" s="1"/>
  <c r="G30" i="3" s="1"/>
  <c r="A26" i="3"/>
  <c r="B26" i="3" s="1"/>
  <c r="E26" i="3" s="1"/>
  <c r="F26" i="3" s="1"/>
  <c r="G26" i="3" s="1"/>
  <c r="O29" i="2"/>
  <c r="P29" i="2" s="1"/>
  <c r="O25" i="2"/>
  <c r="P25" i="2" s="1"/>
  <c r="A22" i="3"/>
  <c r="B22" i="3" s="1"/>
  <c r="E22" i="3" s="1"/>
  <c r="F22" i="3" s="1"/>
  <c r="G22" i="3" s="1"/>
  <c r="O21" i="2"/>
  <c r="P21" i="2" s="1"/>
  <c r="A18" i="3"/>
  <c r="B18" i="3" s="1"/>
  <c r="E18" i="3" s="1"/>
  <c r="F18" i="3" s="1"/>
  <c r="G18" i="3" s="1"/>
  <c r="A14" i="3"/>
  <c r="B14" i="3" s="1"/>
  <c r="E14" i="3" s="1"/>
  <c r="F14" i="3" s="1"/>
  <c r="G14" i="3" s="1"/>
  <c r="O17" i="2"/>
  <c r="P17" i="2" s="1"/>
  <c r="O13" i="2"/>
  <c r="P13" i="2" s="1"/>
  <c r="A10" i="3"/>
  <c r="B10" i="3" s="1"/>
  <c r="E10" i="3" s="1"/>
  <c r="F10" i="3" s="1"/>
  <c r="G10" i="3" s="1"/>
  <c r="O43" i="2"/>
  <c r="P43" i="2" s="1"/>
  <c r="A41" i="3"/>
  <c r="B41" i="3" s="1"/>
  <c r="E41" i="3" s="1"/>
  <c r="F41" i="3" s="1"/>
  <c r="G41" i="3" s="1"/>
  <c r="A37" i="3"/>
  <c r="B37" i="3" s="1"/>
  <c r="E37" i="3" s="1"/>
  <c r="F37" i="3" s="1"/>
  <c r="G37" i="3" s="1"/>
  <c r="O39" i="2"/>
  <c r="P39" i="2" s="1"/>
  <c r="A33" i="3"/>
  <c r="B33" i="3" s="1"/>
  <c r="E33" i="3" s="1"/>
  <c r="F33" i="3" s="1"/>
  <c r="G33" i="3" s="1"/>
  <c r="O35" i="2"/>
  <c r="P35" i="2" s="1"/>
  <c r="O32" i="2"/>
  <c r="P32" i="2" s="1"/>
  <c r="A29" i="3"/>
  <c r="B29" i="3" s="1"/>
  <c r="E29" i="3" s="1"/>
  <c r="F29" i="3" s="1"/>
  <c r="G29" i="3" s="1"/>
  <c r="O28" i="2"/>
  <c r="P28" i="2" s="1"/>
  <c r="A25" i="3"/>
  <c r="B25" i="3" s="1"/>
  <c r="E25" i="3" s="1"/>
  <c r="F25" i="3" s="1"/>
  <c r="G25" i="3" s="1"/>
  <c r="A21" i="3"/>
  <c r="B21" i="3" s="1"/>
  <c r="E21" i="3" s="1"/>
  <c r="F21" i="3" s="1"/>
  <c r="G21" i="3" s="1"/>
  <c r="O24" i="2"/>
  <c r="P24" i="2" s="1"/>
  <c r="A17" i="3"/>
  <c r="B17" i="3" s="1"/>
  <c r="E17" i="3" s="1"/>
  <c r="F17" i="3" s="1"/>
  <c r="G17" i="3" s="1"/>
  <c r="O20" i="2"/>
  <c r="P20" i="2" s="1"/>
  <c r="A13" i="3"/>
  <c r="B13" i="3" s="1"/>
  <c r="E13" i="3" s="1"/>
  <c r="F13" i="3" s="1"/>
  <c r="G13" i="3" s="1"/>
  <c r="O16" i="2"/>
  <c r="P16" i="2" s="1"/>
  <c r="A9" i="3"/>
  <c r="B9" i="3" s="1"/>
  <c r="E9" i="3" s="1"/>
  <c r="F9" i="3" s="1"/>
  <c r="G9" i="3" s="1"/>
  <c r="O12" i="2"/>
  <c r="P12" i="2" s="1"/>
  <c r="O8" i="2"/>
  <c r="P8" i="2" s="1"/>
  <c r="A5" i="3"/>
  <c r="B5" i="3" s="1"/>
  <c r="E5" i="3" s="1"/>
  <c r="F5" i="3" s="1"/>
  <c r="G5" i="3" s="1"/>
  <c r="A4" i="3"/>
  <c r="A7" i="3"/>
  <c r="B7" i="3" s="1"/>
  <c r="E7" i="3" s="1"/>
  <c r="F7" i="3" s="1"/>
  <c r="G7" i="3" s="1"/>
  <c r="O10" i="2"/>
  <c r="P10" i="2" s="1"/>
  <c r="O9" i="2"/>
  <c r="P9" i="2" s="1"/>
  <c r="A6" i="3"/>
  <c r="B6" i="3" s="1"/>
  <c r="E6" i="3" s="1"/>
  <c r="F6" i="3" s="1"/>
  <c r="G6" i="3" s="1"/>
  <c r="C12" i="4"/>
  <c r="C10" i="4"/>
  <c r="B38" i="4" s="1"/>
  <c r="E19" i="4"/>
  <c r="B4" i="3" l="1"/>
  <c r="E4" i="3" s="1"/>
  <c r="F4" i="3" s="1"/>
  <c r="G4" i="3" s="1"/>
  <c r="E29" i="4"/>
  <c r="O9" i="3"/>
  <c r="I9" i="3"/>
  <c r="J9" i="3" s="1"/>
  <c r="P9" i="3"/>
  <c r="K9" i="3"/>
  <c r="I17" i="3"/>
  <c r="J17" i="3" s="1"/>
  <c r="P17" i="3"/>
  <c r="K17" i="3"/>
  <c r="O17" i="3"/>
  <c r="I33" i="3"/>
  <c r="J33" i="3" s="1"/>
  <c r="P33" i="3"/>
  <c r="O33" i="3"/>
  <c r="K33" i="3"/>
  <c r="O14" i="3"/>
  <c r="I14" i="3"/>
  <c r="J14" i="3" s="1"/>
  <c r="P14" i="3"/>
  <c r="K14" i="3"/>
  <c r="K30" i="3"/>
  <c r="O30" i="3"/>
  <c r="P30" i="3"/>
  <c r="I30" i="3"/>
  <c r="J30" i="3" s="1"/>
  <c r="K11" i="3"/>
  <c r="O11" i="3"/>
  <c r="I11" i="3"/>
  <c r="J11" i="3" s="1"/>
  <c r="P11" i="3"/>
  <c r="K19" i="3"/>
  <c r="O19" i="3"/>
  <c r="I19" i="3"/>
  <c r="J19" i="3" s="1"/>
  <c r="P19" i="3"/>
  <c r="I27" i="3"/>
  <c r="J27" i="3" s="1"/>
  <c r="P27" i="3"/>
  <c r="O27" i="3"/>
  <c r="K27" i="3"/>
  <c r="I35" i="3"/>
  <c r="J35" i="3" s="1"/>
  <c r="P35" i="3"/>
  <c r="O35" i="3"/>
  <c r="K35" i="3"/>
  <c r="O12" i="3"/>
  <c r="I12" i="3"/>
  <c r="J12" i="3" s="1"/>
  <c r="P12" i="3"/>
  <c r="K12" i="3"/>
  <c r="O20" i="3"/>
  <c r="K20" i="3"/>
  <c r="I20" i="3"/>
  <c r="J20" i="3" s="1"/>
  <c r="P20" i="3"/>
  <c r="I36" i="3"/>
  <c r="P36" i="3"/>
  <c r="O36" i="3"/>
  <c r="K36" i="3"/>
  <c r="K25" i="3"/>
  <c r="O25" i="3"/>
  <c r="I25" i="3"/>
  <c r="J25" i="3" s="1"/>
  <c r="P25" i="3"/>
  <c r="K41" i="3"/>
  <c r="O41" i="3"/>
  <c r="I41" i="3"/>
  <c r="J41" i="3" s="1"/>
  <c r="P41" i="3"/>
  <c r="I22" i="3"/>
  <c r="J22" i="3" s="1"/>
  <c r="P22" i="3"/>
  <c r="K22" i="3"/>
  <c r="O22" i="3"/>
  <c r="I38" i="3"/>
  <c r="J38" i="3" s="1"/>
  <c r="P38" i="3"/>
  <c r="K38" i="3"/>
  <c r="O38" i="3"/>
  <c r="I43" i="3"/>
  <c r="J43" i="3" s="1"/>
  <c r="P43" i="3"/>
  <c r="O43" i="3"/>
  <c r="K43" i="3"/>
  <c r="I28" i="3"/>
  <c r="J28" i="3" s="1"/>
  <c r="P28" i="3"/>
  <c r="O28" i="3"/>
  <c r="K28" i="3"/>
  <c r="J36" i="3"/>
  <c r="I13" i="3"/>
  <c r="J13" i="3" s="1"/>
  <c r="P13" i="3"/>
  <c r="K13" i="3"/>
  <c r="O13" i="3"/>
  <c r="I21" i="3"/>
  <c r="J21" i="3" s="1"/>
  <c r="P21" i="3"/>
  <c r="K21" i="3"/>
  <c r="O21" i="3"/>
  <c r="I37" i="3"/>
  <c r="J37" i="3" s="1"/>
  <c r="P37" i="3"/>
  <c r="K37" i="3"/>
  <c r="O37" i="3"/>
  <c r="O26" i="3"/>
  <c r="K26" i="3"/>
  <c r="P26" i="3"/>
  <c r="I26" i="3"/>
  <c r="J26" i="3" s="1"/>
  <c r="I42" i="3"/>
  <c r="J42" i="3" s="1"/>
  <c r="P42" i="3"/>
  <c r="K42" i="3"/>
  <c r="O42" i="3"/>
  <c r="O15" i="3"/>
  <c r="I15" i="3"/>
  <c r="J15" i="3" s="1"/>
  <c r="P15" i="3"/>
  <c r="K15" i="3"/>
  <c r="O23" i="3"/>
  <c r="K23" i="3"/>
  <c r="I23" i="3"/>
  <c r="J23" i="3" s="1"/>
  <c r="P23" i="3"/>
  <c r="I31" i="3"/>
  <c r="J31" i="3" s="1"/>
  <c r="P31" i="3"/>
  <c r="O31" i="3"/>
  <c r="K31" i="3"/>
  <c r="O39" i="3"/>
  <c r="K39" i="3"/>
  <c r="I39" i="3"/>
  <c r="J39" i="3" s="1"/>
  <c r="P39" i="3"/>
  <c r="K8" i="3"/>
  <c r="O8" i="3"/>
  <c r="I8" i="3"/>
  <c r="J8" i="3" s="1"/>
  <c r="P8" i="3"/>
  <c r="K16" i="3"/>
  <c r="O16" i="3"/>
  <c r="I16" i="3"/>
  <c r="J16" i="3" s="1"/>
  <c r="P16" i="3"/>
  <c r="I24" i="3"/>
  <c r="J24" i="3" s="1"/>
  <c r="P24" i="3"/>
  <c r="K24" i="3"/>
  <c r="O24" i="3"/>
  <c r="I32" i="3"/>
  <c r="J32" i="3" s="1"/>
  <c r="P32" i="3"/>
  <c r="O32" i="3"/>
  <c r="K32" i="3"/>
  <c r="O29" i="3"/>
  <c r="K29" i="3"/>
  <c r="P29" i="3"/>
  <c r="I29" i="3"/>
  <c r="J29" i="3" s="1"/>
  <c r="I10" i="3"/>
  <c r="J10" i="3" s="1"/>
  <c r="P10" i="3"/>
  <c r="K10" i="3"/>
  <c r="O10" i="3"/>
  <c r="I18" i="3"/>
  <c r="J18" i="3" s="1"/>
  <c r="P18" i="3"/>
  <c r="O18" i="3"/>
  <c r="K18" i="3"/>
  <c r="K34" i="3"/>
  <c r="O34" i="3"/>
  <c r="P34" i="3"/>
  <c r="I34" i="3"/>
  <c r="J34" i="3" s="1"/>
  <c r="I40" i="3"/>
  <c r="J40" i="3" s="1"/>
  <c r="P40" i="3"/>
  <c r="K40" i="3"/>
  <c r="O40" i="3"/>
  <c r="O4" i="3"/>
  <c r="J4" i="3"/>
  <c r="P4" i="3"/>
  <c r="K4" i="3"/>
  <c r="O7" i="3"/>
  <c r="I7" i="3"/>
  <c r="J7" i="3" s="1"/>
  <c r="P7" i="3"/>
  <c r="K7" i="3"/>
  <c r="K6" i="3"/>
  <c r="O6" i="3"/>
  <c r="I6" i="3"/>
  <c r="J6" i="3" s="1"/>
  <c r="P6" i="3"/>
  <c r="O5" i="3"/>
  <c r="I5" i="3"/>
  <c r="J5" i="3" s="1"/>
  <c r="P5" i="3"/>
  <c r="K5" i="3"/>
  <c r="E36" i="4"/>
  <c r="D34" i="4"/>
  <c r="B36" i="4"/>
  <c r="D36" i="4"/>
  <c r="C34" i="4"/>
  <c r="C36" i="4"/>
  <c r="C29" i="4"/>
  <c r="B34" i="4"/>
  <c r="D29" i="4"/>
  <c r="E32" i="4"/>
  <c r="E21" i="4"/>
  <c r="N16" i="3" l="1"/>
  <c r="Q40" i="3"/>
  <c r="Q29" i="3"/>
  <c r="N18" i="3"/>
  <c r="N41" i="3"/>
  <c r="N25" i="3"/>
  <c r="N19" i="3"/>
  <c r="Q14" i="3"/>
  <c r="Q18" i="3"/>
  <c r="N36" i="3"/>
  <c r="Q38" i="3"/>
  <c r="Q22" i="3"/>
  <c r="Q41" i="3"/>
  <c r="Q25" i="3"/>
  <c r="Q37" i="3"/>
  <c r="Q21" i="3"/>
  <c r="Q13" i="3"/>
  <c r="Q43" i="3"/>
  <c r="Q19" i="3"/>
  <c r="Q39" i="3"/>
  <c r="N31" i="3"/>
  <c r="Q36" i="3"/>
  <c r="N20" i="3"/>
  <c r="N34" i="3"/>
  <c r="Q32" i="3"/>
  <c r="Q26" i="3"/>
  <c r="N38" i="3"/>
  <c r="N42" i="3"/>
  <c r="N22" i="3"/>
  <c r="Q30" i="3"/>
  <c r="N40" i="3"/>
  <c r="Q24" i="3"/>
  <c r="Q42" i="3"/>
  <c r="N37" i="3"/>
  <c r="N21" i="3"/>
  <c r="N14" i="3"/>
  <c r="N39" i="3"/>
  <c r="N23" i="3"/>
  <c r="N28" i="3"/>
  <c r="N30" i="3"/>
  <c r="N33" i="3"/>
  <c r="N9" i="3"/>
  <c r="N8" i="3"/>
  <c r="Q11" i="3"/>
  <c r="N10" i="3"/>
  <c r="N11" i="3"/>
  <c r="Q10" i="3"/>
  <c r="N12" i="3"/>
  <c r="N13" i="3"/>
  <c r="N32" i="3"/>
  <c r="N24" i="3"/>
  <c r="Q31" i="3"/>
  <c r="N15" i="3"/>
  <c r="N26" i="3"/>
  <c r="Q28" i="3"/>
  <c r="N43" i="3"/>
  <c r="Q20" i="3"/>
  <c r="Q12" i="3"/>
  <c r="N35" i="3"/>
  <c r="N27" i="3"/>
  <c r="Q17" i="3"/>
  <c r="Q33" i="3"/>
  <c r="Q23" i="3"/>
  <c r="N6" i="3"/>
  <c r="Q34" i="3"/>
  <c r="N29" i="3"/>
  <c r="Q16" i="3"/>
  <c r="Q8" i="3"/>
  <c r="Q15" i="3"/>
  <c r="Q35" i="3"/>
  <c r="Q27" i="3"/>
  <c r="N17" i="3"/>
  <c r="Q9" i="3"/>
  <c r="Q7" i="3"/>
  <c r="Q6" i="3"/>
  <c r="Q5" i="3"/>
  <c r="N7" i="3"/>
  <c r="N4" i="3"/>
  <c r="N5" i="3"/>
  <c r="Q4" i="3"/>
  <c r="D19" i="4" l="1"/>
  <c r="C13" i="4" l="1"/>
  <c r="U5" i="3" l="1"/>
  <c r="T5" i="3"/>
  <c r="S5" i="3"/>
  <c r="U4" i="3"/>
  <c r="T4" i="3"/>
  <c r="S4" i="3"/>
  <c r="V4" i="3" l="1"/>
  <c r="V5" i="3"/>
  <c r="E25" i="4" l="1"/>
  <c r="E26" i="4" l="1"/>
  <c r="E27" i="4" s="1"/>
  <c r="E38" i="4" s="1"/>
  <c r="E40" i="4" l="1"/>
</calcChain>
</file>

<file path=xl/comments1.xml><?xml version="1.0" encoding="utf-8"?>
<comments xmlns="http://schemas.openxmlformats.org/spreadsheetml/2006/main">
  <authors>
    <author>Ange BELOGOUN</author>
  </authors>
  <commentList>
    <comment ref="K5" authorId="0" shapeId="0">
      <text>
        <r>
          <rPr>
            <b/>
            <sz val="14"/>
            <color indexed="81"/>
            <rFont val="Cambria"/>
            <family val="1"/>
          </rPr>
          <t xml:space="preserve">Ange BELOGOUN:
</t>
        </r>
        <r>
          <rPr>
            <sz val="14"/>
            <color indexed="81"/>
            <rFont val="Cambria"/>
            <family val="1"/>
          </rPr>
          <t>Prendre</t>
        </r>
        <r>
          <rPr>
            <b/>
            <sz val="14"/>
            <color indexed="81"/>
            <rFont val="Cambria"/>
            <family val="1"/>
          </rPr>
          <t xml:space="preserve"> </t>
        </r>
        <r>
          <rPr>
            <sz val="14"/>
            <color indexed="81"/>
            <rFont val="Cambria"/>
            <family val="1"/>
          </rPr>
          <t>en compte :
- les congés annuels consommés et 
 - les permissions déductibles prises par la ressource.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5" authorId="0" shapeId="0">
      <text>
        <r>
          <rPr>
            <b/>
            <sz val="13"/>
            <color indexed="81"/>
            <rFont val="Cambria"/>
            <family val="1"/>
          </rPr>
          <t>Ange BELOGOUN: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Cambria"/>
            <family val="1"/>
          </rPr>
          <t>Il s'agit de la période restante à courrir par la ressource en CDD et qui doit être remboursée à l'entreprise.</t>
        </r>
      </text>
    </comment>
  </commentList>
</comments>
</file>

<file path=xl/sharedStrings.xml><?xml version="1.0" encoding="utf-8"?>
<sst xmlns="http://schemas.openxmlformats.org/spreadsheetml/2006/main" count="118" uniqueCount="112">
  <si>
    <t>Noms et Prénoms</t>
  </si>
  <si>
    <t>Rémunérations perçues au cours du mois de démissions</t>
  </si>
  <si>
    <t>Charges ouvrières</t>
  </si>
  <si>
    <t>Charges patronales</t>
  </si>
  <si>
    <t>Détails masse salariale mars 2022</t>
  </si>
  <si>
    <t>Sal. Brut des 12 mois précédents</t>
  </si>
  <si>
    <t>Treizième mois</t>
  </si>
  <si>
    <t>Rémunérations assimilées au 13 ème mois</t>
  </si>
  <si>
    <t>Total Global</t>
  </si>
  <si>
    <t>Salaire moyen</t>
  </si>
  <si>
    <t>ITS Moyen</t>
  </si>
  <si>
    <t>Paie mensuelle (mois de démission)</t>
  </si>
  <si>
    <t>Rémunérations exceptionnelles (mois de démissions)</t>
  </si>
  <si>
    <t>ITS à retenir</t>
  </si>
  <si>
    <t>CNSS ouvrière</t>
  </si>
  <si>
    <t>Net à payer (Solde de tout compte)</t>
  </si>
  <si>
    <t>CNSS patronale</t>
  </si>
  <si>
    <t>VPS</t>
  </si>
  <si>
    <t>Masse salariale</t>
  </si>
  <si>
    <t>Salaire Brut</t>
  </si>
  <si>
    <t xml:space="preserve">Masse salariale </t>
  </si>
  <si>
    <t>Masse salariale totale (solde tt cpte + salaire mars 2022)</t>
  </si>
  <si>
    <t>Nom &amp; Prénoms:</t>
  </si>
  <si>
    <t>Poste Occupé:</t>
  </si>
  <si>
    <t>Enfants à charge</t>
  </si>
  <si>
    <t>Date d'embauche:</t>
  </si>
  <si>
    <t>Date de départ:</t>
  </si>
  <si>
    <t>Ancienneté:</t>
  </si>
  <si>
    <t>Salaire brut Moyen des 12 derniers mois:</t>
  </si>
  <si>
    <t>RUBRIQUES</t>
  </si>
  <si>
    <t>MONTANTS</t>
  </si>
  <si>
    <t>CNSS</t>
  </si>
  <si>
    <t>ITS</t>
  </si>
  <si>
    <t>Total prélèvements</t>
  </si>
  <si>
    <t>Approuvé par :</t>
  </si>
  <si>
    <t xml:space="preserve">Lu et  approuvé par </t>
  </si>
  <si>
    <t>Statut</t>
  </si>
  <si>
    <t>Préjudice/Autres retenues</t>
  </si>
  <si>
    <t>Nature de contrat</t>
  </si>
  <si>
    <t>I-</t>
  </si>
  <si>
    <t xml:space="preserve"> Congés payés </t>
  </si>
  <si>
    <t>II-</t>
  </si>
  <si>
    <t>III-</t>
  </si>
  <si>
    <t>Préjudices/Autres retenues</t>
  </si>
  <si>
    <t>CDD</t>
  </si>
  <si>
    <t>CDI</t>
  </si>
  <si>
    <t>Catégorie</t>
  </si>
  <si>
    <t>TOTAL A PAYER</t>
  </si>
  <si>
    <t>Nombre de jours de crédits de congés au 31/12/N-1</t>
  </si>
  <si>
    <t>Type de contrat de la ressource</t>
  </si>
  <si>
    <t>Début</t>
  </si>
  <si>
    <t>Fin</t>
  </si>
  <si>
    <t>Nombre de jours de congés consommés au cours de l'exercice N</t>
  </si>
  <si>
    <t>Nombre de jours de crédits de congés à payer à la ressource.</t>
  </si>
  <si>
    <t>Date de début de l'exercice en cours</t>
  </si>
  <si>
    <t>Catégorie (Renseigner si la  ressource est en CDI)</t>
  </si>
  <si>
    <t>Salaire Moyen des douze derniers mois</t>
  </si>
  <si>
    <t>Allocation brute des congés à payer</t>
  </si>
  <si>
    <t>Employés, ouvriers et manœuvres</t>
  </si>
  <si>
    <t>Agents de maîtrise, cadres et assimilés</t>
  </si>
  <si>
    <t>Durée de contrat restant à courrir (ressources en CDD)</t>
  </si>
  <si>
    <t xml:space="preserve">Durée de préavis observée </t>
  </si>
  <si>
    <t>RAS</t>
  </si>
  <si>
    <t>M-1</t>
  </si>
  <si>
    <t>M-2</t>
  </si>
  <si>
    <t>M-3</t>
  </si>
  <si>
    <t>M-4</t>
  </si>
  <si>
    <t>M-5</t>
  </si>
  <si>
    <t>M-6</t>
  </si>
  <si>
    <t>M-7</t>
  </si>
  <si>
    <t>M-8</t>
  </si>
  <si>
    <t>M-9</t>
  </si>
  <si>
    <t>M-10</t>
  </si>
  <si>
    <t>M-11</t>
  </si>
  <si>
    <t>M-12</t>
  </si>
  <si>
    <t xml:space="preserve">Salaire brut contractuel </t>
  </si>
  <si>
    <t>Moyenne</t>
  </si>
  <si>
    <t>N°</t>
  </si>
  <si>
    <t>Total</t>
  </si>
  <si>
    <t>Nbre mois</t>
  </si>
  <si>
    <t>Nombre de jours de crédits de congé  à la date du</t>
  </si>
  <si>
    <t xml:space="preserve">Date de rupture du contrat </t>
  </si>
  <si>
    <t>Retenues à effectuer ou Salaire à payer</t>
  </si>
  <si>
    <t>Période restante due ou Préavis à payer</t>
  </si>
  <si>
    <t xml:space="preserve">Nature de la rupture </t>
  </si>
  <si>
    <t>Rupture abusive de l'employeur</t>
  </si>
  <si>
    <t>Rupture de l'employé sur accord partie</t>
  </si>
  <si>
    <t>Rupture de l'employé sans accord partie</t>
  </si>
  <si>
    <t>Rupture pour faute lourde</t>
  </si>
  <si>
    <t>Nature de la rupture du contrat</t>
  </si>
  <si>
    <t>Date fin de contrat (renseigner pour les CDD)</t>
  </si>
  <si>
    <t>Allocation brute des crédits de congés</t>
  </si>
  <si>
    <t>ETAT DE SOLDE DE TOUT COMPTE DES CREDITS DE CONGES ET AUTRES DROITS</t>
  </si>
  <si>
    <t>Retenues Impôts &amp; cotisations sociales</t>
  </si>
  <si>
    <t>IV-</t>
  </si>
  <si>
    <t>Période de préavis observé (ressources CDI)</t>
  </si>
  <si>
    <t>Net à payer</t>
  </si>
  <si>
    <t>DETERMINATION DE LA MOYENNE DES SALAIRES PERCUS SUR LES DOUZE (12) DERNIERS MOIS AVANT LA RUPTURE DU CONTRAT</t>
  </si>
  <si>
    <t>ARH</t>
  </si>
  <si>
    <t>Etabli par :</t>
  </si>
  <si>
    <t>Controlé par :</t>
  </si>
  <si>
    <t xml:space="preserve">Damien VODOUMBO </t>
  </si>
  <si>
    <t>Urbain AHITCHEMIN</t>
  </si>
  <si>
    <t>Conseiller Relation Client à Distance</t>
  </si>
  <si>
    <t>Thola AGBOTON</t>
  </si>
  <si>
    <t>Michèle Claudine Claire Bai DEGBOE</t>
  </si>
  <si>
    <t>RFC ADJOINT</t>
  </si>
  <si>
    <t>DCH</t>
  </si>
  <si>
    <t>DGA-SUPPORT</t>
  </si>
  <si>
    <t>Visé  par :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</si>
  <si>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</si>
  <si>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ARRETE LE PRESENT ETAT A LA SOMME DE FCFA :   MOINS QUATRE VINGT DIX-NEUF MILLE DIX HUIT FRANCS 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</si>
</sst>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64" formatCode="_-* #,##0.00\ _€_-;\-* #,##0.00\ _€_-;_-* &quot;-&quot;??\ _€_-;_-@_-"/>
    <numFmt numFmtId="165" formatCode="_-* #,##0\ _€_-;\-* #,##0\ _€_-;_-* &quot;-&quot;??\ _€_-;_-@_-"/>
    <numFmt numFmtId="166" formatCode="[$-409]d\-mmm\-yyyy;@"/>
    <numFmt numFmtId="167" formatCode="d/m;@"/>
    <numFmt numFmtId="168" formatCode="_-* #,##0.000\ _€_-;\-* #,##0.000\ _€_-;_-* &quot;-&quot;??\ _€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Tw Cen MT"/>
      <family val="2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b/>
      <sz val="13"/>
      <color theme="1"/>
      <name val="Cambria"/>
      <family val="1"/>
    </font>
    <font>
      <b/>
      <sz val="14"/>
      <color indexed="81"/>
      <name val="Cambria"/>
      <family val="1"/>
    </font>
    <font>
      <sz val="14"/>
      <color indexed="81"/>
      <name val="Cambria"/>
      <family val="1"/>
    </font>
    <font>
      <b/>
      <sz val="12"/>
      <color theme="1"/>
      <name val="Cambria"/>
      <family val="1"/>
    </font>
    <font>
      <b/>
      <sz val="13"/>
      <color indexed="81"/>
      <name val="Cambria"/>
      <family val="1"/>
    </font>
    <font>
      <sz val="11"/>
      <color theme="1"/>
      <name val="Cambria"/>
      <family val="1"/>
    </font>
    <font>
      <sz val="13"/>
      <color theme="1"/>
      <name val="Cambria"/>
      <family val="1"/>
    </font>
    <font>
      <b/>
      <sz val="11"/>
      <color theme="1"/>
      <name val="Cambria"/>
      <family val="1"/>
    </font>
    <font>
      <b/>
      <u/>
      <sz val="11"/>
      <color theme="1"/>
      <name val="Cambria"/>
      <family val="1"/>
    </font>
    <font>
      <sz val="14"/>
      <color theme="1"/>
      <name val="Cambria"/>
      <family val="1"/>
    </font>
    <font>
      <b/>
      <i/>
      <sz val="12"/>
      <name val="Cambria"/>
      <family val="1"/>
    </font>
    <font>
      <b/>
      <i/>
      <sz val="14"/>
      <name val="Cambria"/>
      <family val="1"/>
    </font>
    <font>
      <b/>
      <sz val="12"/>
      <name val="Cambria"/>
      <family val="1"/>
    </font>
    <font>
      <b/>
      <sz val="16"/>
      <color theme="1"/>
      <name val="Cambria"/>
      <family val="1"/>
    </font>
    <font>
      <b/>
      <sz val="9"/>
      <color theme="1"/>
      <name val="Cambria"/>
      <family val="1"/>
    </font>
    <font>
      <u/>
      <sz val="9"/>
      <color theme="1"/>
      <name val="Cambria"/>
      <family val="1"/>
    </font>
    <font>
      <sz val="9"/>
      <color theme="1"/>
      <name val="Cambria"/>
      <family val="1"/>
    </font>
    <font>
      <b/>
      <sz val="10"/>
      <color theme="1"/>
      <name val="Cambria"/>
      <family val="1"/>
    </font>
    <font>
      <b/>
      <sz val="14"/>
      <color theme="1"/>
      <name val="Cambria"/>
      <family val="1"/>
    </font>
    <font>
      <b/>
      <sz val="8"/>
      <color theme="1"/>
      <name val="Cambria"/>
      <family val="1"/>
    </font>
    <font>
      <sz val="8"/>
      <color theme="1"/>
      <name val="Cambria"/>
      <family val="1"/>
    </font>
    <font>
      <b/>
      <sz val="11"/>
      <color rgb="FFFF0000"/>
      <name val="Cambria"/>
      <family val="1"/>
    </font>
    <font>
      <sz val="12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4" fontId="5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6" fillId="3" borderId="2" xfId="3" applyNumberFormat="1" applyFont="1" applyFill="1" applyBorder="1"/>
    <xf numFmtId="165" fontId="2" fillId="0" borderId="1" xfId="1" applyNumberFormat="1" applyFont="1" applyBorder="1"/>
    <xf numFmtId="0" fontId="3" fillId="0" borderId="0" xfId="0" applyFont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165" fontId="2" fillId="0" borderId="1" xfId="0" applyNumberFormat="1" applyFont="1" applyBorder="1"/>
    <xf numFmtId="0" fontId="8" fillId="2" borderId="1" xfId="0" applyFont="1" applyFill="1" applyBorder="1" applyAlignment="1">
      <alignment horizontal="center" vertical="center" wrapText="1"/>
    </xf>
    <xf numFmtId="14" fontId="2" fillId="0" borderId="0" xfId="0" applyNumberFormat="1" applyFont="1"/>
    <xf numFmtId="165" fontId="2" fillId="0" borderId="1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/>
    <xf numFmtId="165" fontId="2" fillId="0" borderId="1" xfId="1" applyNumberFormat="1" applyFont="1" applyFill="1" applyBorder="1" applyAlignment="1">
      <alignment vertical="center"/>
    </xf>
    <xf numFmtId="164" fontId="2" fillId="0" borderId="1" xfId="1" applyFont="1" applyFill="1" applyBorder="1" applyAlignment="1">
      <alignment horizontal="left" vertical="center"/>
    </xf>
    <xf numFmtId="165" fontId="2" fillId="0" borderId="9" xfId="1" applyNumberFormat="1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0" fontId="12" fillId="6" borderId="1" xfId="0" applyFont="1" applyFill="1" applyBorder="1" applyAlignment="1">
      <alignment vertical="center" wrapText="1"/>
    </xf>
    <xf numFmtId="14" fontId="3" fillId="6" borderId="1" xfId="0" applyNumberFormat="1" applyFont="1" applyFill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Font="1" applyAlignment="1">
      <alignment vertical="center" wrapText="1"/>
    </xf>
    <xf numFmtId="14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9" fillId="0" borderId="1" xfId="0" applyFont="1" applyBorder="1" applyAlignment="1">
      <alignment horizontal="center" vertical="center"/>
    </xf>
    <xf numFmtId="0" fontId="15" fillId="0" borderId="8" xfId="0" applyFont="1" applyBorder="1"/>
    <xf numFmtId="0" fontId="15" fillId="0" borderId="8" xfId="0" applyFont="1" applyBorder="1" applyAlignment="1">
      <alignment horizontal="center" vertical="center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/>
    </xf>
    <xf numFmtId="168" fontId="2" fillId="0" borderId="1" xfId="1" applyNumberFormat="1" applyFont="1" applyFill="1" applyBorder="1" applyAlignment="1">
      <alignment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Border="1"/>
    <xf numFmtId="0" fontId="2" fillId="0" borderId="1" xfId="0" applyFont="1" applyBorder="1" applyAlignment="1">
      <alignment horizontal="left" vertical="center"/>
    </xf>
    <xf numFmtId="165" fontId="15" fillId="0" borderId="9" xfId="1" applyNumberFormat="1" applyFont="1" applyBorder="1" applyAlignment="1">
      <alignment horizontal="center" vertical="center"/>
    </xf>
    <xf numFmtId="165" fontId="15" fillId="0" borderId="10" xfId="1" applyNumberFormat="1" applyFont="1" applyBorder="1" applyAlignment="1">
      <alignment horizontal="center" vertical="center"/>
    </xf>
    <xf numFmtId="165" fontId="15" fillId="0" borderId="8" xfId="1" applyNumberFormat="1" applyFont="1" applyBorder="1" applyAlignment="1">
      <alignment horizontal="center" vertical="center"/>
    </xf>
    <xf numFmtId="165" fontId="15" fillId="0" borderId="1" xfId="1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165" fontId="2" fillId="0" borderId="1" xfId="1" applyNumberFormat="1" applyFont="1" applyFill="1" applyBorder="1" applyAlignment="1">
      <alignment horizontal="left" vertical="center"/>
    </xf>
    <xf numFmtId="164" fontId="2" fillId="0" borderId="1" xfId="1" applyFont="1" applyFill="1" applyBorder="1" applyAlignment="1" applyProtection="1">
      <alignment horizontal="center" vertical="center"/>
      <protection locked="0" hidden="1"/>
    </xf>
    <xf numFmtId="3" fontId="16" fillId="0" borderId="0" xfId="0" applyNumberFormat="1" applyFont="1"/>
    <xf numFmtId="0" fontId="14" fillId="0" borderId="0" xfId="0" applyFont="1" applyAlignment="1">
      <alignment horizontal="center" vertical="center"/>
    </xf>
    <xf numFmtId="0" fontId="16" fillId="0" borderId="11" xfId="0" applyFont="1" applyBorder="1"/>
    <xf numFmtId="0" fontId="14" fillId="0" borderId="13" xfId="0" applyFont="1" applyBorder="1"/>
    <xf numFmtId="3" fontId="16" fillId="0" borderId="12" xfId="0" applyNumberFormat="1" applyFont="1" applyBorder="1"/>
    <xf numFmtId="0" fontId="16" fillId="0" borderId="14" xfId="0" applyFont="1" applyBorder="1"/>
    <xf numFmtId="0" fontId="16" fillId="0" borderId="15" xfId="0" applyFont="1" applyBorder="1" applyAlignment="1">
      <alignment horizontal="left"/>
    </xf>
    <xf numFmtId="3" fontId="16" fillId="0" borderId="15" xfId="0" applyNumberFormat="1" applyFont="1" applyBorder="1"/>
    <xf numFmtId="166" fontId="16" fillId="0" borderId="15" xfId="0" applyNumberFormat="1" applyFont="1" applyBorder="1" applyAlignment="1">
      <alignment horizontal="left" vertical="center"/>
    </xf>
    <xf numFmtId="167" fontId="14" fillId="0" borderId="0" xfId="0" applyNumberFormat="1" applyFont="1"/>
    <xf numFmtId="3" fontId="16" fillId="0" borderId="17" xfId="0" applyNumberFormat="1" applyFont="1" applyBorder="1" applyAlignment="1">
      <alignment horizontal="left" vertical="center"/>
    </xf>
    <xf numFmtId="0" fontId="16" fillId="0" borderId="18" xfId="0" applyFont="1" applyBorder="1" applyAlignment="1">
      <alignment wrapText="1"/>
    </xf>
    <xf numFmtId="3" fontId="16" fillId="0" borderId="0" xfId="0" applyNumberFormat="1" applyFont="1" applyAlignment="1">
      <alignment horizontal="center"/>
    </xf>
    <xf numFmtId="0" fontId="14" fillId="0" borderId="18" xfId="0" applyFont="1" applyBorder="1"/>
    <xf numFmtId="0" fontId="16" fillId="0" borderId="0" xfId="0" applyFont="1"/>
    <xf numFmtId="3" fontId="16" fillId="0" borderId="15" xfId="0" applyNumberFormat="1" applyFont="1" applyBorder="1" applyAlignment="1">
      <alignment horizontal="right"/>
    </xf>
    <xf numFmtId="0" fontId="16" fillId="0" borderId="18" xfId="0" applyFont="1" applyBorder="1" applyAlignment="1">
      <alignment horizontal="right"/>
    </xf>
    <xf numFmtId="166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165" fontId="16" fillId="0" borderId="15" xfId="1" applyNumberFormat="1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3" fontId="14" fillId="0" borderId="15" xfId="0" applyNumberFormat="1" applyFont="1" applyBorder="1"/>
    <xf numFmtId="3" fontId="14" fillId="0" borderId="0" xfId="0" applyNumberFormat="1" applyFont="1"/>
    <xf numFmtId="0" fontId="14" fillId="0" borderId="19" xfId="0" applyFont="1" applyBorder="1"/>
    <xf numFmtId="0" fontId="14" fillId="0" borderId="20" xfId="0" applyFont="1" applyBorder="1"/>
    <xf numFmtId="3" fontId="16" fillId="0" borderId="17" xfId="0" applyNumberFormat="1" applyFont="1" applyBorder="1"/>
    <xf numFmtId="0" fontId="17" fillId="0" borderId="0" xfId="0" applyFont="1" applyAlignment="1">
      <alignment wrapText="1"/>
    </xf>
    <xf numFmtId="0" fontId="18" fillId="0" borderId="0" xfId="0" applyFont="1"/>
    <xf numFmtId="3" fontId="19" fillId="0" borderId="21" xfId="0" applyNumberFormat="1" applyFont="1" applyBorder="1" applyAlignment="1">
      <alignment vertical="center"/>
    </xf>
    <xf numFmtId="3" fontId="19" fillId="0" borderId="3" xfId="0" applyNumberFormat="1" applyFont="1" applyBorder="1" applyAlignment="1">
      <alignment vertical="center"/>
    </xf>
    <xf numFmtId="3" fontId="20" fillId="0" borderId="3" xfId="0" applyNumberFormat="1" applyFont="1" applyBorder="1" applyAlignment="1">
      <alignment vertical="center"/>
    </xf>
    <xf numFmtId="1" fontId="18" fillId="0" borderId="0" xfId="0" applyNumberFormat="1" applyFont="1"/>
    <xf numFmtId="0" fontId="14" fillId="0" borderId="0" xfId="0" applyFont="1" applyAlignment="1">
      <alignment horizontal="center" wrapText="1"/>
    </xf>
    <xf numFmtId="3" fontId="16" fillId="0" borderId="0" xfId="0" applyNumberFormat="1" applyFont="1" applyAlignment="1">
      <alignment horizontal="right"/>
    </xf>
    <xf numFmtId="3" fontId="19" fillId="0" borderId="0" xfId="0" applyNumberFormat="1" applyFont="1" applyAlignment="1">
      <alignment vertical="center"/>
    </xf>
    <xf numFmtId="3" fontId="20" fillId="0" borderId="0" xfId="0" applyNumberFormat="1" applyFont="1" applyAlignment="1">
      <alignment vertical="center"/>
    </xf>
    <xf numFmtId="0" fontId="21" fillId="0" borderId="0" xfId="0" applyFont="1" applyAlignment="1">
      <alignment vertical="center" wrapText="1"/>
    </xf>
    <xf numFmtId="0" fontId="22" fillId="0" borderId="0" xfId="0" applyFont="1"/>
    <xf numFmtId="4" fontId="14" fillId="0" borderId="0" xfId="0" applyNumberFormat="1" applyFont="1"/>
    <xf numFmtId="0" fontId="14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wrapText="1"/>
    </xf>
    <xf numFmtId="0" fontId="26" fillId="0" borderId="13" xfId="0" applyFont="1" applyBorder="1"/>
    <xf numFmtId="0" fontId="26" fillId="0" borderId="13" xfId="0" applyFont="1" applyBorder="1" applyAlignment="1">
      <alignment horizontal="left"/>
    </xf>
    <xf numFmtId="0" fontId="12" fillId="0" borderId="0" xfId="0" applyFont="1"/>
    <xf numFmtId="0" fontId="27" fillId="0" borderId="0" xfId="0" applyFont="1" applyAlignment="1">
      <alignment horizontal="center"/>
    </xf>
    <xf numFmtId="0" fontId="27" fillId="0" borderId="0" xfId="0" applyFont="1"/>
    <xf numFmtId="3" fontId="12" fillId="0" borderId="0" xfId="0" applyNumberFormat="1" applyFont="1"/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/>
    <xf numFmtId="0" fontId="29" fillId="0" borderId="0" xfId="0" applyFont="1"/>
    <xf numFmtId="0" fontId="14" fillId="0" borderId="0" xfId="0" applyFont="1" applyAlignment="1">
      <alignment vertical="center"/>
    </xf>
    <xf numFmtId="0" fontId="12" fillId="0" borderId="0" xfId="0" applyFont="1" applyAlignment="1">
      <alignment wrapText="1"/>
    </xf>
    <xf numFmtId="0" fontId="16" fillId="0" borderId="0" xfId="0" applyFont="1" applyAlignment="1">
      <alignment wrapText="1"/>
    </xf>
    <xf numFmtId="3" fontId="30" fillId="0" borderId="0" xfId="0" applyNumberFormat="1" applyFont="1"/>
    <xf numFmtId="0" fontId="31" fillId="0" borderId="0" xfId="0" applyFont="1"/>
    <xf numFmtId="3" fontId="31" fillId="0" borderId="0" xfId="0" applyNumberFormat="1" applyFont="1"/>
    <xf numFmtId="0" fontId="21" fillId="0" borderId="0" xfId="0" applyFont="1"/>
    <xf numFmtId="0" fontId="14" fillId="0" borderId="0" xfId="0" applyFont="1" applyAlignment="1">
      <alignment horizontal="left" vertical="center" wrapText="1"/>
    </xf>
    <xf numFmtId="0" fontId="17" fillId="0" borderId="0" xfId="0" applyFont="1"/>
    <xf numFmtId="3" fontId="14" fillId="0" borderId="15" xfId="0" applyNumberFormat="1" applyFont="1" applyBorder="1" applyAlignment="1">
      <alignment vertical="center"/>
    </xf>
    <xf numFmtId="0" fontId="16" fillId="0" borderId="16" xfId="0" applyFont="1" applyBorder="1" applyAlignment="1">
      <alignment vertical="center" wrapText="1"/>
    </xf>
    <xf numFmtId="1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left" vertical="center" wrapText="1"/>
    </xf>
    <xf numFmtId="0" fontId="16" fillId="0" borderId="18" xfId="0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6" fillId="0" borderId="15" xfId="1" applyNumberFormat="1" applyFont="1" applyBorder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14" fontId="14" fillId="0" borderId="0" xfId="0" applyNumberFormat="1" applyFont="1"/>
    <xf numFmtId="41" fontId="15" fillId="0" borderId="10" xfId="4" applyFont="1" applyBorder="1" applyAlignment="1">
      <alignment horizontal="center" vertical="center"/>
    </xf>
    <xf numFmtId="3" fontId="20" fillId="0" borderId="4" xfId="0" applyNumberFormat="1" applyFont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4" borderId="0" xfId="0" applyFont="1" applyFill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165" fontId="16" fillId="0" borderId="15" xfId="1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right" vertical="center"/>
    </xf>
    <xf numFmtId="165" fontId="16" fillId="0" borderId="0" xfId="1" applyNumberFormat="1" applyFont="1" applyBorder="1" applyAlignment="1">
      <alignment horizontal="right" vertical="center" wrapText="1"/>
    </xf>
    <xf numFmtId="165" fontId="16" fillId="0" borderId="15" xfId="1" applyNumberFormat="1" applyFont="1" applyBorder="1" applyAlignment="1">
      <alignment horizontal="right" vertical="center" wrapText="1"/>
    </xf>
    <xf numFmtId="0" fontId="15" fillId="0" borderId="22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</cellXfs>
  <cellStyles count="5">
    <cellStyle name="Milliers" xfId="1" builtinId="3"/>
    <cellStyle name="Milliers [0]" xfId="4" builtinId="6"/>
    <cellStyle name="Milliers 2" xf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FF00FF"/>
      <color rgb="FF00FFFF"/>
      <color rgb="FF66FF99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2:Q43"/>
  <sheetViews>
    <sheetView workbookViewId="0">
      <pane xSplit="5" ySplit="4" topLeftCell="F5" activePane="bottomRight" state="frozen"/>
      <selection pane="topRight" activeCell="F1" sqref="F1"/>
      <selection pane="bottomLeft" activeCell="A8" sqref="A8"/>
      <selection pane="bottomRight" activeCell="J16" sqref="J16"/>
    </sheetView>
  </sheetViews>
  <sheetFormatPr baseColWidth="10" defaultRowHeight="16.5" x14ac:dyDescent="0.25"/>
  <cols>
    <col min="1" max="1" width="5.7109375" style="28" customWidth="1"/>
    <col min="2" max="2" width="30.85546875" style="28" customWidth="1"/>
    <col min="3" max="14" width="13.7109375" style="28" customWidth="1"/>
    <col min="15" max="15" width="15.5703125" style="28" customWidth="1"/>
    <col min="16" max="16" width="19.42578125" style="28" customWidth="1"/>
    <col min="17" max="17" width="12.85546875" style="28" customWidth="1"/>
    <col min="18" max="16384" width="11.42578125" style="28"/>
  </cols>
  <sheetData>
    <row r="2" spans="1:17" x14ac:dyDescent="0.25">
      <c r="C2" s="124" t="s">
        <v>97</v>
      </c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4" spans="1:17" ht="18" customHeight="1" x14ac:dyDescent="0.25">
      <c r="A4" s="119" t="s">
        <v>77</v>
      </c>
      <c r="B4" s="120" t="s">
        <v>0</v>
      </c>
      <c r="C4" s="119" t="s">
        <v>63</v>
      </c>
      <c r="D4" s="119" t="s">
        <v>64</v>
      </c>
      <c r="E4" s="119" t="s">
        <v>65</v>
      </c>
      <c r="F4" s="119" t="s">
        <v>66</v>
      </c>
      <c r="G4" s="119" t="s">
        <v>67</v>
      </c>
      <c r="H4" s="119" t="s">
        <v>68</v>
      </c>
      <c r="I4" s="119" t="s">
        <v>69</v>
      </c>
      <c r="J4" s="119" t="s">
        <v>70</v>
      </c>
      <c r="K4" s="119" t="s">
        <v>71</v>
      </c>
      <c r="L4" s="119" t="s">
        <v>72</v>
      </c>
      <c r="M4" s="119" t="s">
        <v>73</v>
      </c>
      <c r="N4" s="119" t="s">
        <v>74</v>
      </c>
      <c r="O4" s="119" t="s">
        <v>78</v>
      </c>
      <c r="P4" s="119" t="s">
        <v>76</v>
      </c>
      <c r="Q4" s="119" t="s">
        <v>79</v>
      </c>
    </row>
    <row r="5" spans="1:17" x14ac:dyDescent="0.25">
      <c r="A5" s="35">
        <v>12</v>
      </c>
      <c r="B5" s="3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38">
        <f>SUM(C5:N5)</f>
        <v>0</v>
      </c>
      <c r="P5" s="38" t="e">
        <f>AVERAGE(C5:N5)</f>
        <v>#DIV/0!</v>
      </c>
      <c r="Q5" s="41">
        <f>+COUNTA(C5:N5)</f>
        <v>0</v>
      </c>
    </row>
    <row r="6" spans="1:17" x14ac:dyDescent="0.25">
      <c r="A6" s="35">
        <v>13</v>
      </c>
      <c r="B6" s="36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8">
        <f t="shared" ref="O6:O12" si="0">SUM(C6:N6)</f>
        <v>0</v>
      </c>
      <c r="P6" s="38" t="e">
        <f t="shared" ref="P6:P43" si="1">AVERAGE(C6:N6)</f>
        <v>#DIV/0!</v>
      </c>
      <c r="Q6" s="41">
        <f t="shared" ref="Q6:Q43" si="2">+COUNTA(C6:N6)</f>
        <v>0</v>
      </c>
    </row>
    <row r="7" spans="1:17" x14ac:dyDescent="0.25">
      <c r="A7" s="35">
        <v>14</v>
      </c>
      <c r="B7" s="36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8">
        <f t="shared" si="0"/>
        <v>0</v>
      </c>
      <c r="P7" s="38" t="e">
        <f t="shared" si="1"/>
        <v>#DIV/0!</v>
      </c>
      <c r="Q7" s="41">
        <f t="shared" si="2"/>
        <v>0</v>
      </c>
    </row>
    <row r="8" spans="1:17" x14ac:dyDescent="0.25">
      <c r="A8" s="35">
        <v>15</v>
      </c>
      <c r="B8" s="36"/>
      <c r="C8" s="122"/>
      <c r="D8" s="122"/>
      <c r="E8" s="122"/>
      <c r="F8" s="122"/>
      <c r="G8" s="122"/>
      <c r="H8" s="122"/>
      <c r="J8" s="122"/>
      <c r="O8" s="38">
        <f t="shared" si="0"/>
        <v>0</v>
      </c>
      <c r="P8" s="38" t="e">
        <f t="shared" si="1"/>
        <v>#DIV/0!</v>
      </c>
      <c r="Q8" s="41">
        <f t="shared" si="2"/>
        <v>0</v>
      </c>
    </row>
    <row r="9" spans="1:17" x14ac:dyDescent="0.25">
      <c r="A9" s="35">
        <v>16</v>
      </c>
      <c r="B9" s="36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8">
        <f t="shared" si="0"/>
        <v>0</v>
      </c>
      <c r="P9" s="38" t="e">
        <f t="shared" si="1"/>
        <v>#DIV/0!</v>
      </c>
      <c r="Q9" s="41">
        <f t="shared" si="2"/>
        <v>0</v>
      </c>
    </row>
    <row r="10" spans="1:17" x14ac:dyDescent="0.25">
      <c r="A10" s="35">
        <v>17</v>
      </c>
      <c r="B10" s="36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8">
        <f t="shared" si="0"/>
        <v>0</v>
      </c>
      <c r="P10" s="38" t="e">
        <f t="shared" si="1"/>
        <v>#DIV/0!</v>
      </c>
      <c r="Q10" s="41">
        <f t="shared" si="2"/>
        <v>0</v>
      </c>
    </row>
    <row r="11" spans="1:17" x14ac:dyDescent="0.25">
      <c r="A11" s="35">
        <v>18</v>
      </c>
      <c r="B11" s="36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8">
        <f t="shared" si="0"/>
        <v>0</v>
      </c>
      <c r="P11" s="38" t="e">
        <f t="shared" si="1"/>
        <v>#DIV/0!</v>
      </c>
      <c r="Q11" s="41">
        <f t="shared" si="2"/>
        <v>0</v>
      </c>
    </row>
    <row r="12" spans="1:17" x14ac:dyDescent="0.25">
      <c r="A12" s="35">
        <v>19</v>
      </c>
      <c r="B12" s="36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8">
        <f t="shared" si="0"/>
        <v>0</v>
      </c>
      <c r="P12" s="38" t="e">
        <f t="shared" si="1"/>
        <v>#DIV/0!</v>
      </c>
      <c r="Q12" s="41">
        <f t="shared" si="2"/>
        <v>0</v>
      </c>
    </row>
    <row r="13" spans="1:17" x14ac:dyDescent="0.25">
      <c r="A13" s="35">
        <v>20</v>
      </c>
      <c r="B13" s="36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8" t="e">
        <f t="shared" si="1"/>
        <v>#DIV/0!</v>
      </c>
      <c r="Q13" s="41">
        <f t="shared" si="2"/>
        <v>0</v>
      </c>
    </row>
    <row r="14" spans="1:17" x14ac:dyDescent="0.25">
      <c r="A14" s="35">
        <v>21</v>
      </c>
      <c r="B14" s="36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8" t="e">
        <f t="shared" si="1"/>
        <v>#DIV/0!</v>
      </c>
      <c r="Q14" s="41">
        <f t="shared" si="2"/>
        <v>0</v>
      </c>
    </row>
    <row r="15" spans="1:17" x14ac:dyDescent="0.25">
      <c r="A15" s="35">
        <v>22</v>
      </c>
      <c r="B15" s="36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8" t="e">
        <f t="shared" si="1"/>
        <v>#DIV/0!</v>
      </c>
      <c r="Q15" s="41">
        <f t="shared" si="2"/>
        <v>0</v>
      </c>
    </row>
    <row r="16" spans="1:17" x14ac:dyDescent="0.25">
      <c r="A16" s="35">
        <v>23</v>
      </c>
      <c r="B16" s="36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8" t="e">
        <f t="shared" si="1"/>
        <v>#DIV/0!</v>
      </c>
      <c r="Q16" s="41">
        <f t="shared" si="2"/>
        <v>0</v>
      </c>
    </row>
    <row r="17" spans="1:17" x14ac:dyDescent="0.25">
      <c r="A17" s="35">
        <v>24</v>
      </c>
      <c r="B17" s="36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8" t="e">
        <f t="shared" si="1"/>
        <v>#DIV/0!</v>
      </c>
      <c r="Q17" s="41">
        <f t="shared" si="2"/>
        <v>0</v>
      </c>
    </row>
    <row r="18" spans="1:17" x14ac:dyDescent="0.25">
      <c r="A18" s="35">
        <v>25</v>
      </c>
      <c r="B18" s="36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8" t="e">
        <f t="shared" si="1"/>
        <v>#DIV/0!</v>
      </c>
      <c r="Q18" s="41">
        <f t="shared" si="2"/>
        <v>0</v>
      </c>
    </row>
    <row r="19" spans="1:17" x14ac:dyDescent="0.25">
      <c r="A19" s="35">
        <v>26</v>
      </c>
      <c r="B19" s="36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8" t="e">
        <f t="shared" si="1"/>
        <v>#DIV/0!</v>
      </c>
      <c r="Q19" s="41">
        <f t="shared" si="2"/>
        <v>0</v>
      </c>
    </row>
    <row r="20" spans="1:17" x14ac:dyDescent="0.25">
      <c r="A20" s="35">
        <v>27</v>
      </c>
      <c r="B20" s="36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8" t="e">
        <f t="shared" si="1"/>
        <v>#DIV/0!</v>
      </c>
      <c r="Q20" s="41">
        <f t="shared" si="2"/>
        <v>0</v>
      </c>
    </row>
    <row r="21" spans="1:17" x14ac:dyDescent="0.25">
      <c r="A21" s="35">
        <v>28</v>
      </c>
      <c r="B21" s="36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8" t="e">
        <f t="shared" si="1"/>
        <v>#DIV/0!</v>
      </c>
      <c r="Q21" s="41">
        <f t="shared" si="2"/>
        <v>0</v>
      </c>
    </row>
    <row r="22" spans="1:17" x14ac:dyDescent="0.25">
      <c r="A22" s="35">
        <v>29</v>
      </c>
      <c r="B22" s="36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8" t="e">
        <f t="shared" si="1"/>
        <v>#DIV/0!</v>
      </c>
      <c r="Q22" s="41">
        <f t="shared" si="2"/>
        <v>0</v>
      </c>
    </row>
    <row r="23" spans="1:17" x14ac:dyDescent="0.25">
      <c r="A23" s="35">
        <v>30</v>
      </c>
      <c r="B23" s="36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8" t="e">
        <f t="shared" si="1"/>
        <v>#DIV/0!</v>
      </c>
      <c r="Q23" s="41">
        <f t="shared" si="2"/>
        <v>0</v>
      </c>
    </row>
    <row r="24" spans="1:17" x14ac:dyDescent="0.25">
      <c r="A24" s="35">
        <v>31</v>
      </c>
      <c r="B24" s="36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8" t="e">
        <f t="shared" si="1"/>
        <v>#DIV/0!</v>
      </c>
      <c r="Q24" s="41">
        <f t="shared" si="2"/>
        <v>0</v>
      </c>
    </row>
    <row r="25" spans="1:17" x14ac:dyDescent="0.25">
      <c r="A25" s="35">
        <v>32</v>
      </c>
      <c r="B25" s="36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8" t="e">
        <f t="shared" si="1"/>
        <v>#DIV/0!</v>
      </c>
      <c r="Q25" s="41">
        <f t="shared" si="2"/>
        <v>0</v>
      </c>
    </row>
    <row r="26" spans="1:17" x14ac:dyDescent="0.25">
      <c r="A26" s="35">
        <v>33</v>
      </c>
      <c r="B26" s="36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8" t="e">
        <f t="shared" si="1"/>
        <v>#DIV/0!</v>
      </c>
      <c r="Q26" s="41">
        <f t="shared" si="2"/>
        <v>0</v>
      </c>
    </row>
    <row r="27" spans="1:17" x14ac:dyDescent="0.25">
      <c r="A27" s="35">
        <v>34</v>
      </c>
      <c r="B27" s="36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8" t="e">
        <f t="shared" si="1"/>
        <v>#DIV/0!</v>
      </c>
      <c r="Q27" s="41">
        <f t="shared" si="2"/>
        <v>0</v>
      </c>
    </row>
    <row r="28" spans="1:17" x14ac:dyDescent="0.25">
      <c r="A28" s="35">
        <v>35</v>
      </c>
      <c r="B28" s="36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8" t="e">
        <f t="shared" si="1"/>
        <v>#DIV/0!</v>
      </c>
      <c r="Q28" s="41">
        <f t="shared" si="2"/>
        <v>0</v>
      </c>
    </row>
    <row r="29" spans="1:17" x14ac:dyDescent="0.25">
      <c r="A29" s="35">
        <v>36</v>
      </c>
      <c r="B29" s="36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8" t="e">
        <f t="shared" si="1"/>
        <v>#DIV/0!</v>
      </c>
      <c r="Q29" s="41">
        <f t="shared" si="2"/>
        <v>0</v>
      </c>
    </row>
    <row r="30" spans="1:17" x14ac:dyDescent="0.25">
      <c r="A30" s="35">
        <v>37</v>
      </c>
      <c r="B30" s="36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8" t="e">
        <f t="shared" si="1"/>
        <v>#DIV/0!</v>
      </c>
      <c r="Q30" s="41">
        <f t="shared" si="2"/>
        <v>0</v>
      </c>
    </row>
    <row r="31" spans="1:17" x14ac:dyDescent="0.25">
      <c r="A31" s="35">
        <v>38</v>
      </c>
      <c r="B31" s="36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8" t="e">
        <f t="shared" si="1"/>
        <v>#DIV/0!</v>
      </c>
      <c r="Q31" s="41">
        <f t="shared" si="2"/>
        <v>0</v>
      </c>
    </row>
    <row r="32" spans="1:17" x14ac:dyDescent="0.25">
      <c r="A32" s="35">
        <v>39</v>
      </c>
      <c r="B32" s="36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8" t="e">
        <f t="shared" si="1"/>
        <v>#DIV/0!</v>
      </c>
      <c r="Q32" s="41">
        <f t="shared" si="2"/>
        <v>0</v>
      </c>
    </row>
    <row r="33" spans="1:17" x14ac:dyDescent="0.25">
      <c r="A33" s="35">
        <v>40</v>
      </c>
      <c r="B33" s="36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8" t="e">
        <f t="shared" si="1"/>
        <v>#DIV/0!</v>
      </c>
      <c r="Q33" s="41">
        <f t="shared" si="2"/>
        <v>0</v>
      </c>
    </row>
    <row r="34" spans="1:17" x14ac:dyDescent="0.25">
      <c r="A34" s="35">
        <v>41</v>
      </c>
      <c r="B34" s="36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8" t="e">
        <f t="shared" si="1"/>
        <v>#DIV/0!</v>
      </c>
      <c r="Q34" s="41">
        <f t="shared" si="2"/>
        <v>0</v>
      </c>
    </row>
    <row r="35" spans="1:17" x14ac:dyDescent="0.25">
      <c r="A35" s="35">
        <v>42</v>
      </c>
      <c r="B35" s="36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8" t="e">
        <f t="shared" si="1"/>
        <v>#DIV/0!</v>
      </c>
      <c r="Q35" s="41">
        <f t="shared" si="2"/>
        <v>0</v>
      </c>
    </row>
    <row r="36" spans="1:17" x14ac:dyDescent="0.25">
      <c r="A36" s="35">
        <v>43</v>
      </c>
      <c r="B36" s="36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8" t="e">
        <f t="shared" si="1"/>
        <v>#DIV/0!</v>
      </c>
      <c r="Q36" s="41">
        <f t="shared" si="2"/>
        <v>0</v>
      </c>
    </row>
    <row r="37" spans="1:17" x14ac:dyDescent="0.25">
      <c r="A37" s="35">
        <v>44</v>
      </c>
      <c r="B37" s="36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8" t="e">
        <f t="shared" si="1"/>
        <v>#DIV/0!</v>
      </c>
      <c r="Q37" s="41">
        <f t="shared" si="2"/>
        <v>0</v>
      </c>
    </row>
    <row r="38" spans="1:17" x14ac:dyDescent="0.25">
      <c r="A38" s="35">
        <v>45</v>
      </c>
      <c r="B38" s="36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8" t="e">
        <f t="shared" si="1"/>
        <v>#DIV/0!</v>
      </c>
      <c r="Q38" s="41">
        <f t="shared" si="2"/>
        <v>0</v>
      </c>
    </row>
    <row r="39" spans="1:17" x14ac:dyDescent="0.25">
      <c r="A39" s="35">
        <v>46</v>
      </c>
      <c r="B39" s="36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8" t="e">
        <f t="shared" si="1"/>
        <v>#DIV/0!</v>
      </c>
      <c r="Q39" s="41">
        <f t="shared" si="2"/>
        <v>0</v>
      </c>
    </row>
    <row r="40" spans="1:17" x14ac:dyDescent="0.25">
      <c r="A40" s="35">
        <v>47</v>
      </c>
      <c r="B40" s="36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8" t="e">
        <f t="shared" si="1"/>
        <v>#DIV/0!</v>
      </c>
      <c r="Q40" s="41">
        <f t="shared" si="2"/>
        <v>0</v>
      </c>
    </row>
    <row r="41" spans="1:17" x14ac:dyDescent="0.25">
      <c r="A41" s="35">
        <v>48</v>
      </c>
      <c r="B41" s="36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8" t="e">
        <f t="shared" si="1"/>
        <v>#DIV/0!</v>
      </c>
      <c r="Q41" s="41">
        <f t="shared" si="2"/>
        <v>0</v>
      </c>
    </row>
    <row r="42" spans="1:17" x14ac:dyDescent="0.25">
      <c r="A42" s="35">
        <v>49</v>
      </c>
      <c r="B42" s="36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8" t="e">
        <f t="shared" si="1"/>
        <v>#DIV/0!</v>
      </c>
      <c r="Q42" s="41">
        <f t="shared" si="2"/>
        <v>0</v>
      </c>
    </row>
    <row r="43" spans="1:17" x14ac:dyDescent="0.25">
      <c r="A43" s="31">
        <v>50</v>
      </c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1" t="e">
        <f t="shared" si="1"/>
        <v>#DIV/0!</v>
      </c>
      <c r="Q43" s="41">
        <f t="shared" si="2"/>
        <v>0</v>
      </c>
    </row>
  </sheetData>
  <sortState ref="B5:N19">
    <sortCondition ref="B5"/>
  </sortState>
  <mergeCells count="1">
    <mergeCell ref="C2:O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2:P46"/>
  <sheetViews>
    <sheetView zoomScale="80" zoomScaleNormal="80" workbookViewId="0">
      <pane xSplit="2" ySplit="6" topLeftCell="C7" activePane="bottomRight" state="frozen"/>
      <selection pane="topRight" activeCell="C1" sqref="C1"/>
      <selection pane="bottomLeft" activeCell="A11" sqref="A11"/>
      <selection pane="bottomRight" activeCell="D7" sqref="D7"/>
    </sheetView>
  </sheetViews>
  <sheetFormatPr baseColWidth="10" defaultColWidth="9.140625" defaultRowHeight="16.5" x14ac:dyDescent="0.3"/>
  <cols>
    <col min="1" max="1" width="38.5703125" style="1" customWidth="1"/>
    <col min="2" max="2" width="15.42578125" style="1" customWidth="1"/>
    <col min="3" max="3" width="20.28515625" style="1" customWidth="1"/>
    <col min="4" max="4" width="23.5703125" style="1" customWidth="1"/>
    <col min="5" max="5" width="16.140625" style="1" customWidth="1"/>
    <col min="6" max="6" width="15.7109375" style="1" customWidth="1"/>
    <col min="7" max="7" width="18.7109375" style="1" customWidth="1"/>
    <col min="8" max="9" width="15.7109375" style="1" customWidth="1"/>
    <col min="10" max="10" width="17.140625" style="1" customWidth="1"/>
    <col min="11" max="11" width="20.42578125" style="1" customWidth="1"/>
    <col min="12" max="13" width="17.140625" style="1" customWidth="1"/>
    <col min="14" max="14" width="13.140625" style="1" customWidth="1"/>
    <col min="15" max="15" width="15.7109375" style="1" customWidth="1"/>
    <col min="16" max="16" width="16.28515625" style="1" customWidth="1"/>
    <col min="17" max="16384" width="9.140625" style="1"/>
  </cols>
  <sheetData>
    <row r="2" spans="1:16" ht="32.25" customHeight="1" x14ac:dyDescent="0.3">
      <c r="A2" s="21" t="s">
        <v>54</v>
      </c>
      <c r="B2" s="22">
        <v>45658</v>
      </c>
      <c r="C2" s="20"/>
      <c r="D2" s="20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6" ht="12" customHeight="1" x14ac:dyDescent="0.3">
      <c r="A3" s="24"/>
      <c r="B3" s="25"/>
      <c r="C3" s="20"/>
      <c r="D3" s="20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6" ht="16.5" customHeight="1" x14ac:dyDescent="0.3">
      <c r="A4" s="19"/>
      <c r="E4" s="11"/>
      <c r="F4" s="11"/>
      <c r="G4" s="11"/>
      <c r="H4" s="11"/>
    </row>
    <row r="5" spans="1:16" ht="48.75" customHeight="1" x14ac:dyDescent="0.3">
      <c r="A5" s="127" t="s">
        <v>0</v>
      </c>
      <c r="B5" s="125" t="s">
        <v>49</v>
      </c>
      <c r="C5" s="125" t="s">
        <v>55</v>
      </c>
      <c r="D5" s="125" t="s">
        <v>89</v>
      </c>
      <c r="E5" s="125" t="s">
        <v>75</v>
      </c>
      <c r="F5" s="125" t="s">
        <v>90</v>
      </c>
      <c r="G5" s="125" t="s">
        <v>81</v>
      </c>
      <c r="H5" s="129" t="s">
        <v>95</v>
      </c>
      <c r="I5" s="130"/>
      <c r="J5" s="125" t="s">
        <v>48</v>
      </c>
      <c r="K5" s="125" t="s">
        <v>52</v>
      </c>
      <c r="L5" s="125" t="s">
        <v>53</v>
      </c>
      <c r="M5" s="125" t="s">
        <v>60</v>
      </c>
      <c r="N5" s="131" t="s">
        <v>61</v>
      </c>
      <c r="O5" s="125" t="s">
        <v>56</v>
      </c>
      <c r="P5" s="125" t="s">
        <v>57</v>
      </c>
    </row>
    <row r="6" spans="1:16" ht="31.5" customHeight="1" x14ac:dyDescent="0.3">
      <c r="A6" s="128"/>
      <c r="B6" s="126"/>
      <c r="C6" s="126"/>
      <c r="D6" s="126"/>
      <c r="E6" s="126"/>
      <c r="F6" s="126"/>
      <c r="G6" s="126"/>
      <c r="H6" s="10" t="s">
        <v>50</v>
      </c>
      <c r="I6" s="10" t="s">
        <v>51</v>
      </c>
      <c r="J6" s="126"/>
      <c r="K6" s="126"/>
      <c r="L6" s="126"/>
      <c r="M6" s="126"/>
      <c r="N6" s="132"/>
      <c r="O6" s="126"/>
      <c r="P6" s="126"/>
    </row>
    <row r="7" spans="1:16" ht="33" customHeight="1" x14ac:dyDescent="0.3">
      <c r="A7" s="37">
        <f>+'Salaire moyen'!B5</f>
        <v>0</v>
      </c>
      <c r="B7" s="37" t="s">
        <v>44</v>
      </c>
      <c r="C7" s="43"/>
      <c r="D7" s="43" t="s">
        <v>87</v>
      </c>
      <c r="E7" s="44">
        <v>169969</v>
      </c>
      <c r="F7" s="113">
        <v>45894</v>
      </c>
      <c r="G7" s="113">
        <v>45858</v>
      </c>
      <c r="H7" s="113"/>
      <c r="I7" s="113"/>
      <c r="J7" s="12">
        <v>16</v>
      </c>
      <c r="K7" s="12">
        <v>0</v>
      </c>
      <c r="L7" s="23">
        <f t="shared" ref="L7:L46" si="0">IFERROR(ROUND((DATEDIF($B$2,G7,"m")+(DATEDIF($B$2,G7,"md"))/30)*2,0)+J7-K7,J7-K7)</f>
        <v>29</v>
      </c>
      <c r="M7" s="45" t="str">
        <f>+IFERROR(IF(AND(DATEDIF(G7,F7,"y")&gt;=1,DATEDIF(G7,F7,"ym")&gt;=1,DATEDIF(G7,F7,"md")&gt;=1),DATEDIF(G7,F7,"y") &amp; " ans " &amp; DATEDIF(G7,F7,"ym") &amp; " mois " &amp; DATEDIF(G7,F7,"md") &amp; " jours ",IF(AND(DATEDIF(G7,F7,"y")&gt;=1,DATEDIF(G7,F7,"ym")&gt;=1,DATEDIF(G7,F7,"md")&lt;1),DATEDIF(G7,F7,"y") &amp; " ans " &amp; DATEDIF(G7,F7,"ym") &amp; " mois ",IF(AND(DATEDIF(G7,F7,"y")&gt;=1,DATEDIF(G7,F7,"ym")&lt;1,DATEDIF(G7,F7,"md")&gt;=1),DATEDIF(G7,F7,"y") &amp; " ans " &amp; DATEDIF(G7,F7,"md") &amp; " jours ",IF(AND(DATEDIF(G7,F7,"y")&gt;=1,DATEDIF(G7,F7,"ym")&lt;1,DATEDIF(G7,F7,"md")&lt;1),DATEDIF(G7,F7,"y") &amp; " ans ",IF(AND(DATEDIF(G7,F7,"y")&lt;1,DATEDIF(G7,F7,"ym")&gt;=1,DATEDIF(G7,F7,"md")&gt;=1),DATEDIF(G7,F7,"ym") &amp; " mois " &amp; DATEDIF(G7,F7,"md") &amp; " jours ",IF(AND(DATEDIF(G7,F7,"y")&lt;1,DATEDIF(G7,F7,"ym")&gt;=1,DATEDIF(G7,F7,"md")&lt;1),DATEDIF(G7,F7,"ym") &amp; " mois ",IF(AND(DATEDIF(G7,F7,"y")&lt;1,DATEDIF(G7,F7,"ym")&lt;1,DATEDIF(G7,F7,"md")&gt;=1),DATEDIF(G7,F7,"md") &amp; " jours ",)))))))," ")</f>
        <v xml:space="preserve">1 mois 5 jours </v>
      </c>
      <c r="N7" s="18">
        <f>+NETWORKDAYS(H7,I7)</f>
        <v>0</v>
      </c>
      <c r="O7" s="14" t="e">
        <f>+VLOOKUP(A7,'Salaire moyen'!B5:P54,15,FALSE)</f>
        <v>#N/A</v>
      </c>
      <c r="P7" s="34" t="e">
        <f>+O7*L7/24</f>
        <v>#N/A</v>
      </c>
    </row>
    <row r="8" spans="1:16" ht="33" customHeight="1" x14ac:dyDescent="0.3">
      <c r="A8" s="37">
        <f>+'Salaire moyen'!B6</f>
        <v>0</v>
      </c>
      <c r="B8" s="37"/>
      <c r="C8" s="43"/>
      <c r="D8" s="43"/>
      <c r="E8" s="44"/>
      <c r="F8" s="113"/>
      <c r="G8" s="113"/>
      <c r="H8" s="113"/>
      <c r="I8" s="113"/>
      <c r="J8" s="12"/>
      <c r="K8" s="12"/>
      <c r="L8" s="23">
        <f t="shared" si="0"/>
        <v>0</v>
      </c>
      <c r="M8" s="45">
        <f t="shared" ref="M8:M46" si="1">+IFERROR(IF(AND(DATEDIF(G8,F8,"y")&gt;=1,DATEDIF(G8,F8,"ym")&gt;=1,DATEDIF(G8,F8,"md")&gt;=1),DATEDIF(G8,F8,"y") &amp; " ans " &amp; DATEDIF(G8,F8,"ym") &amp; " mois " &amp; DATEDIF(G8,F8,"md") &amp; " jours ",IF(AND(DATEDIF(G8,F8,"y")&gt;=1,DATEDIF(G8,F8,"ym")&gt;=1,DATEDIF(G8,F8,"md")&lt;1),DATEDIF(G8,F8,"y") &amp; " ans " &amp; DATEDIF(G8,F8,"ym") &amp; " mois ",IF(AND(DATEDIF(G8,F8,"y")&gt;=1,DATEDIF(G8,F8,"ym")&lt;1,DATEDIF(G8,F8,"md")&gt;=1),DATEDIF(G8,F8,"y") &amp; " ans " &amp; DATEDIF(G8,F8,"md") &amp; " jours ",IF(AND(DATEDIF(G8,F8,"y")&gt;=1,DATEDIF(G8,F8,"ym")&lt;1,DATEDIF(G8,F8,"md")&lt;1),DATEDIF(G8,F8,"y") &amp; " ans ",IF(AND(DATEDIF(G8,F8,"y")&lt;1,DATEDIF(G8,F8,"ym")&gt;=1,DATEDIF(G8,F8,"md")&gt;=1),DATEDIF(G8,F8,"ym") &amp; " mois " &amp; DATEDIF(G8,F8,"md") &amp; " jours ",IF(AND(DATEDIF(G8,F8,"y")&lt;1,DATEDIF(G8,F8,"ym")&gt;=1,DATEDIF(G8,F8,"md")&lt;1),DATEDIF(G8,F8,"ym") &amp; " mois ",IF(AND(DATEDIF(G8,F8,"y")&lt;1,DATEDIF(G8,F8,"ym")&lt;1,DATEDIF(G8,F8,"md")&gt;=1),DATEDIF(G8,F8,"md") &amp; " jours ",)))))))," ")</f>
        <v>0</v>
      </c>
      <c r="N8" s="18">
        <f t="shared" ref="N8:N46" si="2">+NETWORKDAYS(H8,I8)</f>
        <v>0</v>
      </c>
      <c r="O8" s="14" t="e">
        <f>+VLOOKUP(A8,'Salaire moyen'!B6:P55,15,FALSE)</f>
        <v>#N/A</v>
      </c>
      <c r="P8" s="34" t="e">
        <f t="shared" ref="P8:P46" si="3">+O8*L8/24</f>
        <v>#N/A</v>
      </c>
    </row>
    <row r="9" spans="1:16" ht="33" customHeight="1" x14ac:dyDescent="0.3">
      <c r="A9" s="37">
        <f>+'Salaire moyen'!B7</f>
        <v>0</v>
      </c>
      <c r="B9" s="37"/>
      <c r="C9" s="43"/>
      <c r="D9" s="43"/>
      <c r="E9" s="44"/>
      <c r="F9" s="113"/>
      <c r="G9" s="113"/>
      <c r="H9" s="113"/>
      <c r="I9" s="113"/>
      <c r="J9" s="12"/>
      <c r="K9" s="12"/>
      <c r="L9" s="23">
        <f t="shared" si="0"/>
        <v>0</v>
      </c>
      <c r="M9" s="45">
        <f t="shared" si="1"/>
        <v>0</v>
      </c>
      <c r="N9" s="18">
        <f t="shared" si="2"/>
        <v>0</v>
      </c>
      <c r="O9" s="14" t="e">
        <f>+VLOOKUP(A9,'Salaire moyen'!B7:P56,15,FALSE)</f>
        <v>#N/A</v>
      </c>
      <c r="P9" s="34" t="e">
        <f t="shared" si="3"/>
        <v>#N/A</v>
      </c>
    </row>
    <row r="10" spans="1:16" ht="33" customHeight="1" x14ac:dyDescent="0.3">
      <c r="A10" s="37">
        <f>+'Salaire moyen'!B8</f>
        <v>0</v>
      </c>
      <c r="B10" s="37"/>
      <c r="C10" s="43"/>
      <c r="D10" s="43"/>
      <c r="E10" s="44"/>
      <c r="F10" s="113"/>
      <c r="G10" s="113"/>
      <c r="H10" s="113"/>
      <c r="I10" s="113"/>
      <c r="J10" s="12"/>
      <c r="K10" s="12"/>
      <c r="L10" s="23">
        <f t="shared" si="0"/>
        <v>0</v>
      </c>
      <c r="M10" s="45">
        <f t="shared" si="1"/>
        <v>0</v>
      </c>
      <c r="N10" s="18">
        <f t="shared" si="2"/>
        <v>0</v>
      </c>
      <c r="O10" s="14" t="e">
        <f>+VLOOKUP(A10,'Salaire moyen'!B8:P57,15,FALSE)</f>
        <v>#N/A</v>
      </c>
      <c r="P10" s="34" t="e">
        <f t="shared" si="3"/>
        <v>#N/A</v>
      </c>
    </row>
    <row r="11" spans="1:16" ht="33" customHeight="1" x14ac:dyDescent="0.3">
      <c r="A11" s="37">
        <f>+'Salaire moyen'!B9</f>
        <v>0</v>
      </c>
      <c r="B11" s="37"/>
      <c r="C11" s="43"/>
      <c r="D11" s="43"/>
      <c r="E11" s="44"/>
      <c r="F11" s="113" t="s">
        <v>110</v>
      </c>
      <c r="G11" s="113"/>
      <c r="H11" s="113"/>
      <c r="I11" s="113"/>
      <c r="J11" s="12"/>
      <c r="K11" s="12"/>
      <c r="L11" s="23">
        <f t="shared" si="0"/>
        <v>0</v>
      </c>
      <c r="M11" s="45" t="str">
        <f t="shared" si="1"/>
        <v xml:space="preserve"> </v>
      </c>
      <c r="N11" s="18">
        <f t="shared" si="2"/>
        <v>0</v>
      </c>
      <c r="O11" s="14" t="e">
        <f>+VLOOKUP(A11,'Salaire moyen'!B9:P58,15,FALSE)</f>
        <v>#N/A</v>
      </c>
      <c r="P11" s="34" t="e">
        <f t="shared" si="3"/>
        <v>#N/A</v>
      </c>
    </row>
    <row r="12" spans="1:16" ht="33" customHeight="1" x14ac:dyDescent="0.3">
      <c r="A12" s="37">
        <f>+'Salaire moyen'!B10</f>
        <v>0</v>
      </c>
      <c r="B12" s="37"/>
      <c r="C12" s="43"/>
      <c r="D12" s="43"/>
      <c r="E12" s="44"/>
      <c r="F12" s="113"/>
      <c r="G12" s="113"/>
      <c r="H12" s="113"/>
      <c r="I12" s="113"/>
      <c r="J12" s="12"/>
      <c r="K12" s="12"/>
      <c r="L12" s="23">
        <f t="shared" si="0"/>
        <v>0</v>
      </c>
      <c r="M12" s="45">
        <f t="shared" si="1"/>
        <v>0</v>
      </c>
      <c r="N12" s="18">
        <f t="shared" si="2"/>
        <v>0</v>
      </c>
      <c r="O12" s="14" t="e">
        <f>+VLOOKUP(A12,'Salaire moyen'!B10:P59,15,FALSE)</f>
        <v>#N/A</v>
      </c>
      <c r="P12" s="34" t="e">
        <f t="shared" si="3"/>
        <v>#N/A</v>
      </c>
    </row>
    <row r="13" spans="1:16" ht="33" customHeight="1" x14ac:dyDescent="0.3">
      <c r="A13" s="37">
        <f>+'Salaire moyen'!B11</f>
        <v>0</v>
      </c>
      <c r="B13" s="37"/>
      <c r="C13" s="43"/>
      <c r="D13" s="43"/>
      <c r="E13" s="44"/>
      <c r="F13" s="113"/>
      <c r="G13" s="113"/>
      <c r="H13" s="113"/>
      <c r="I13" s="113"/>
      <c r="J13" s="12"/>
      <c r="K13" s="12"/>
      <c r="L13" s="23">
        <f t="shared" si="0"/>
        <v>0</v>
      </c>
      <c r="M13" s="45">
        <f t="shared" si="1"/>
        <v>0</v>
      </c>
      <c r="N13" s="18">
        <f t="shared" si="2"/>
        <v>0</v>
      </c>
      <c r="O13" s="14" t="e">
        <f>+VLOOKUP(A13,'Salaire moyen'!B11:P60,15,FALSE)</f>
        <v>#N/A</v>
      </c>
      <c r="P13" s="34" t="e">
        <f t="shared" si="3"/>
        <v>#N/A</v>
      </c>
    </row>
    <row r="14" spans="1:16" ht="33" customHeight="1" x14ac:dyDescent="0.3">
      <c r="A14" s="37">
        <f>+'Salaire moyen'!B12</f>
        <v>0</v>
      </c>
      <c r="B14" s="37"/>
      <c r="C14" s="43"/>
      <c r="D14" s="43"/>
      <c r="E14" s="44"/>
      <c r="F14" s="113"/>
      <c r="G14" s="113"/>
      <c r="H14" s="113"/>
      <c r="I14" s="113"/>
      <c r="J14" s="12"/>
      <c r="K14" s="12"/>
      <c r="L14" s="23">
        <f t="shared" si="0"/>
        <v>0</v>
      </c>
      <c r="M14" s="45">
        <f t="shared" si="1"/>
        <v>0</v>
      </c>
      <c r="N14" s="18">
        <f t="shared" si="2"/>
        <v>0</v>
      </c>
      <c r="O14" s="14" t="e">
        <f>+VLOOKUP(A14,'Salaire moyen'!B12:P61,15,FALSE)</f>
        <v>#N/A</v>
      </c>
      <c r="P14" s="34" t="e">
        <f t="shared" si="3"/>
        <v>#N/A</v>
      </c>
    </row>
    <row r="15" spans="1:16" ht="33" customHeight="1" x14ac:dyDescent="0.3">
      <c r="A15" s="37">
        <f>+'Salaire moyen'!B13</f>
        <v>0</v>
      </c>
      <c r="B15" s="37"/>
      <c r="C15" s="43"/>
      <c r="D15" s="43"/>
      <c r="E15" s="44"/>
      <c r="F15" s="113"/>
      <c r="G15" s="113"/>
      <c r="H15" s="113"/>
      <c r="I15" s="113"/>
      <c r="J15" s="12"/>
      <c r="K15" s="12"/>
      <c r="L15" s="23">
        <f t="shared" si="0"/>
        <v>0</v>
      </c>
      <c r="M15" s="45">
        <f t="shared" si="1"/>
        <v>0</v>
      </c>
      <c r="N15" s="18">
        <f t="shared" si="2"/>
        <v>0</v>
      </c>
      <c r="O15" s="14" t="e">
        <f>+VLOOKUP(A15,'Salaire moyen'!B13:P62,15,FALSE)</f>
        <v>#N/A</v>
      </c>
      <c r="P15" s="34" t="e">
        <f t="shared" si="3"/>
        <v>#N/A</v>
      </c>
    </row>
    <row r="16" spans="1:16" ht="33" customHeight="1" x14ac:dyDescent="0.3">
      <c r="A16" s="37">
        <f>+'Salaire moyen'!B14</f>
        <v>0</v>
      </c>
      <c r="B16" s="37"/>
      <c r="C16" s="43"/>
      <c r="D16" s="43"/>
      <c r="E16" s="44"/>
      <c r="F16" s="113"/>
      <c r="G16" s="113"/>
      <c r="H16" s="113"/>
      <c r="I16" s="113"/>
      <c r="J16" s="12"/>
      <c r="K16" s="12"/>
      <c r="L16" s="23">
        <f t="shared" si="0"/>
        <v>0</v>
      </c>
      <c r="M16" s="45">
        <f t="shared" si="1"/>
        <v>0</v>
      </c>
      <c r="N16" s="18">
        <f t="shared" si="2"/>
        <v>0</v>
      </c>
      <c r="O16" s="14" t="e">
        <f>+VLOOKUP(A16,'Salaire moyen'!B14:P63,15,FALSE)</f>
        <v>#N/A</v>
      </c>
      <c r="P16" s="34" t="e">
        <f t="shared" si="3"/>
        <v>#N/A</v>
      </c>
    </row>
    <row r="17" spans="1:16" ht="33" customHeight="1" x14ac:dyDescent="0.3">
      <c r="A17" s="37">
        <f>+'Salaire moyen'!B15</f>
        <v>0</v>
      </c>
      <c r="B17" s="37"/>
      <c r="C17" s="43"/>
      <c r="D17" s="43"/>
      <c r="E17" s="44"/>
      <c r="F17" s="113"/>
      <c r="G17" s="113"/>
      <c r="H17" s="113"/>
      <c r="I17" s="113"/>
      <c r="J17" s="12"/>
      <c r="K17" s="12"/>
      <c r="L17" s="23">
        <f t="shared" si="0"/>
        <v>0</v>
      </c>
      <c r="M17" s="45">
        <f t="shared" si="1"/>
        <v>0</v>
      </c>
      <c r="N17" s="18">
        <f t="shared" si="2"/>
        <v>0</v>
      </c>
      <c r="O17" s="14" t="e">
        <f>+VLOOKUP(A17,'Salaire moyen'!B15:P64,15,FALSE)</f>
        <v>#N/A</v>
      </c>
      <c r="P17" s="34" t="e">
        <f t="shared" si="3"/>
        <v>#N/A</v>
      </c>
    </row>
    <row r="18" spans="1:16" ht="33" customHeight="1" x14ac:dyDescent="0.3">
      <c r="A18" s="37">
        <f>+'Salaire moyen'!B16</f>
        <v>0</v>
      </c>
      <c r="B18" s="37"/>
      <c r="C18" s="43"/>
      <c r="D18" s="43"/>
      <c r="E18" s="44"/>
      <c r="F18" s="113"/>
      <c r="G18" s="113"/>
      <c r="H18" s="113"/>
      <c r="I18" s="113"/>
      <c r="J18" s="12"/>
      <c r="K18" s="12"/>
      <c r="L18" s="23">
        <f t="shared" si="0"/>
        <v>0</v>
      </c>
      <c r="M18" s="45">
        <f t="shared" si="1"/>
        <v>0</v>
      </c>
      <c r="N18" s="18">
        <f t="shared" si="2"/>
        <v>0</v>
      </c>
      <c r="O18" s="14" t="e">
        <f>+VLOOKUP(A18,'Salaire moyen'!B16:P65,15,FALSE)</f>
        <v>#N/A</v>
      </c>
      <c r="P18" s="34" t="e">
        <f t="shared" si="3"/>
        <v>#N/A</v>
      </c>
    </row>
    <row r="19" spans="1:16" ht="33" customHeight="1" x14ac:dyDescent="0.3">
      <c r="A19" s="37">
        <f>+'Salaire moyen'!B17</f>
        <v>0</v>
      </c>
      <c r="B19" s="37"/>
      <c r="C19" s="43"/>
      <c r="D19" s="43"/>
      <c r="E19" s="44"/>
      <c r="F19" s="113"/>
      <c r="G19" s="113"/>
      <c r="H19" s="113"/>
      <c r="I19" s="113"/>
      <c r="J19" s="12"/>
      <c r="K19" s="12"/>
      <c r="L19" s="23">
        <f t="shared" si="0"/>
        <v>0</v>
      </c>
      <c r="M19" s="45">
        <f t="shared" si="1"/>
        <v>0</v>
      </c>
      <c r="N19" s="18">
        <f t="shared" si="2"/>
        <v>0</v>
      </c>
      <c r="O19" s="14" t="e">
        <f>+VLOOKUP(A19,'Salaire moyen'!B17:P66,15,FALSE)</f>
        <v>#N/A</v>
      </c>
      <c r="P19" s="34" t="e">
        <f t="shared" si="3"/>
        <v>#N/A</v>
      </c>
    </row>
    <row r="20" spans="1:16" ht="33" customHeight="1" x14ac:dyDescent="0.3">
      <c r="A20" s="37">
        <f>+'Salaire moyen'!B18</f>
        <v>0</v>
      </c>
      <c r="B20" s="37"/>
      <c r="C20" s="43"/>
      <c r="D20" s="43"/>
      <c r="E20" s="44"/>
      <c r="F20" s="113"/>
      <c r="G20" s="113"/>
      <c r="H20" s="113"/>
      <c r="I20" s="113"/>
      <c r="J20" s="12"/>
      <c r="K20" s="12"/>
      <c r="L20" s="23">
        <f t="shared" si="0"/>
        <v>0</v>
      </c>
      <c r="M20" s="45">
        <f t="shared" si="1"/>
        <v>0</v>
      </c>
      <c r="N20" s="18">
        <f t="shared" si="2"/>
        <v>0</v>
      </c>
      <c r="O20" s="14" t="e">
        <f>+VLOOKUP(A20,'Salaire moyen'!B18:P67,15,FALSE)</f>
        <v>#N/A</v>
      </c>
      <c r="P20" s="34" t="e">
        <f t="shared" si="3"/>
        <v>#N/A</v>
      </c>
    </row>
    <row r="21" spans="1:16" ht="33" customHeight="1" x14ac:dyDescent="0.3">
      <c r="A21" s="37">
        <f>+'Salaire moyen'!B19</f>
        <v>0</v>
      </c>
      <c r="B21" s="37"/>
      <c r="C21" s="43"/>
      <c r="D21" s="43"/>
      <c r="E21" s="44"/>
      <c r="F21" s="113"/>
      <c r="G21" s="113"/>
      <c r="H21" s="113"/>
      <c r="I21" s="113"/>
      <c r="J21" s="12"/>
      <c r="K21" s="12"/>
      <c r="L21" s="23">
        <f t="shared" si="0"/>
        <v>0</v>
      </c>
      <c r="M21" s="45">
        <f t="shared" si="1"/>
        <v>0</v>
      </c>
      <c r="N21" s="18">
        <f t="shared" si="2"/>
        <v>0</v>
      </c>
      <c r="O21" s="14" t="e">
        <f>+VLOOKUP(A21,'Salaire moyen'!B19:P68,15,FALSE)</f>
        <v>#N/A</v>
      </c>
      <c r="P21" s="34" t="e">
        <f t="shared" si="3"/>
        <v>#N/A</v>
      </c>
    </row>
    <row r="22" spans="1:16" ht="33" customHeight="1" x14ac:dyDescent="0.3">
      <c r="A22" s="37">
        <f>+'Salaire moyen'!B20</f>
        <v>0</v>
      </c>
      <c r="B22" s="37"/>
      <c r="C22" s="43"/>
      <c r="D22" s="43"/>
      <c r="E22" s="44"/>
      <c r="F22" s="113"/>
      <c r="G22" s="113"/>
      <c r="H22" s="113"/>
      <c r="I22" s="113"/>
      <c r="J22" s="12"/>
      <c r="K22" s="12"/>
      <c r="L22" s="23">
        <f t="shared" si="0"/>
        <v>0</v>
      </c>
      <c r="M22" s="45">
        <f t="shared" si="1"/>
        <v>0</v>
      </c>
      <c r="N22" s="18">
        <f t="shared" si="2"/>
        <v>0</v>
      </c>
      <c r="O22" s="14" t="e">
        <f>+VLOOKUP(A22,'Salaire moyen'!B20:P69,15,FALSE)</f>
        <v>#N/A</v>
      </c>
      <c r="P22" s="34" t="e">
        <f t="shared" si="3"/>
        <v>#N/A</v>
      </c>
    </row>
    <row r="23" spans="1:16" ht="33" customHeight="1" x14ac:dyDescent="0.3">
      <c r="A23" s="37">
        <f>+'Salaire moyen'!B21</f>
        <v>0</v>
      </c>
      <c r="B23" s="37"/>
      <c r="C23" s="43"/>
      <c r="D23" s="43"/>
      <c r="E23" s="44"/>
      <c r="F23" s="113"/>
      <c r="G23" s="113"/>
      <c r="H23" s="113"/>
      <c r="I23" s="113"/>
      <c r="J23" s="12"/>
      <c r="K23" s="12"/>
      <c r="L23" s="23">
        <f t="shared" si="0"/>
        <v>0</v>
      </c>
      <c r="M23" s="45">
        <f t="shared" si="1"/>
        <v>0</v>
      </c>
      <c r="N23" s="18">
        <f t="shared" si="2"/>
        <v>0</v>
      </c>
      <c r="O23" s="14" t="e">
        <f>+VLOOKUP(A23,'Salaire moyen'!B21:P70,15,FALSE)</f>
        <v>#N/A</v>
      </c>
      <c r="P23" s="34" t="e">
        <f t="shared" si="3"/>
        <v>#N/A</v>
      </c>
    </row>
    <row r="24" spans="1:16" ht="33" customHeight="1" x14ac:dyDescent="0.3">
      <c r="A24" s="37">
        <f>+'Salaire moyen'!B22</f>
        <v>0</v>
      </c>
      <c r="B24" s="37"/>
      <c r="C24" s="43"/>
      <c r="D24" s="43"/>
      <c r="E24" s="44"/>
      <c r="F24" s="113"/>
      <c r="G24" s="113"/>
      <c r="H24" s="113"/>
      <c r="I24" s="113"/>
      <c r="J24" s="12"/>
      <c r="K24" s="12"/>
      <c r="L24" s="23">
        <f t="shared" si="0"/>
        <v>0</v>
      </c>
      <c r="M24" s="45">
        <f t="shared" si="1"/>
        <v>0</v>
      </c>
      <c r="N24" s="18">
        <f t="shared" si="2"/>
        <v>0</v>
      </c>
      <c r="O24" s="14" t="e">
        <f>+VLOOKUP(A24,'Salaire moyen'!B22:P71,15,FALSE)</f>
        <v>#N/A</v>
      </c>
      <c r="P24" s="34" t="e">
        <f t="shared" si="3"/>
        <v>#N/A</v>
      </c>
    </row>
    <row r="25" spans="1:16" ht="33" customHeight="1" x14ac:dyDescent="0.3">
      <c r="A25" s="37">
        <f>+'Salaire moyen'!B23</f>
        <v>0</v>
      </c>
      <c r="B25" s="37"/>
      <c r="C25" s="43"/>
      <c r="D25" s="43"/>
      <c r="E25" s="44"/>
      <c r="F25" s="113"/>
      <c r="G25" s="113"/>
      <c r="H25" s="113"/>
      <c r="I25" s="113"/>
      <c r="J25" s="12"/>
      <c r="K25" s="12"/>
      <c r="L25" s="23">
        <f t="shared" si="0"/>
        <v>0</v>
      </c>
      <c r="M25" s="45">
        <f t="shared" si="1"/>
        <v>0</v>
      </c>
      <c r="N25" s="18">
        <f t="shared" si="2"/>
        <v>0</v>
      </c>
      <c r="O25" s="14" t="e">
        <f>+VLOOKUP(A25,'Salaire moyen'!B23:P72,15,FALSE)</f>
        <v>#N/A</v>
      </c>
      <c r="P25" s="34" t="e">
        <f t="shared" si="3"/>
        <v>#N/A</v>
      </c>
    </row>
    <row r="26" spans="1:16" ht="33" customHeight="1" x14ac:dyDescent="0.3">
      <c r="A26" s="37">
        <f>+'Salaire moyen'!B24</f>
        <v>0</v>
      </c>
      <c r="B26" s="37"/>
      <c r="C26" s="43"/>
      <c r="D26" s="43"/>
      <c r="E26" s="44"/>
      <c r="F26" s="113"/>
      <c r="G26" s="113"/>
      <c r="H26" s="113"/>
      <c r="I26" s="113"/>
      <c r="J26" s="12"/>
      <c r="K26" s="12"/>
      <c r="L26" s="23">
        <f t="shared" si="0"/>
        <v>0</v>
      </c>
      <c r="M26" s="45">
        <f t="shared" si="1"/>
        <v>0</v>
      </c>
      <c r="N26" s="18">
        <f t="shared" si="2"/>
        <v>0</v>
      </c>
      <c r="O26" s="14" t="e">
        <f>+VLOOKUP(A26,'Salaire moyen'!B24:P73,15,FALSE)</f>
        <v>#N/A</v>
      </c>
      <c r="P26" s="34" t="e">
        <f t="shared" si="3"/>
        <v>#N/A</v>
      </c>
    </row>
    <row r="27" spans="1:16" ht="33" customHeight="1" x14ac:dyDescent="0.3">
      <c r="A27" s="37">
        <f>+'Salaire moyen'!B25</f>
        <v>0</v>
      </c>
      <c r="B27" s="37"/>
      <c r="C27" s="43"/>
      <c r="D27" s="43"/>
      <c r="E27" s="44"/>
      <c r="F27" s="113"/>
      <c r="G27" s="113"/>
      <c r="H27" s="113"/>
      <c r="I27" s="113"/>
      <c r="J27" s="12"/>
      <c r="K27" s="12"/>
      <c r="L27" s="23">
        <f t="shared" si="0"/>
        <v>0</v>
      </c>
      <c r="M27" s="45">
        <f t="shared" si="1"/>
        <v>0</v>
      </c>
      <c r="N27" s="18">
        <f t="shared" si="2"/>
        <v>0</v>
      </c>
      <c r="O27" s="14" t="e">
        <f>+VLOOKUP(A27,'Salaire moyen'!B25:P74,15,FALSE)</f>
        <v>#N/A</v>
      </c>
      <c r="P27" s="34" t="e">
        <f t="shared" si="3"/>
        <v>#N/A</v>
      </c>
    </row>
    <row r="28" spans="1:16" ht="33" customHeight="1" x14ac:dyDescent="0.3">
      <c r="A28" s="37">
        <f>+'Salaire moyen'!B26</f>
        <v>0</v>
      </c>
      <c r="B28" s="37"/>
      <c r="C28" s="43"/>
      <c r="D28" s="43"/>
      <c r="E28" s="44"/>
      <c r="F28" s="113"/>
      <c r="G28" s="113"/>
      <c r="H28" s="113"/>
      <c r="I28" s="113"/>
      <c r="J28" s="12"/>
      <c r="K28" s="12"/>
      <c r="L28" s="23">
        <f t="shared" si="0"/>
        <v>0</v>
      </c>
      <c r="M28" s="45">
        <f t="shared" si="1"/>
        <v>0</v>
      </c>
      <c r="N28" s="18">
        <f t="shared" si="2"/>
        <v>0</v>
      </c>
      <c r="O28" s="14" t="e">
        <f>+VLOOKUP(A28,'Salaire moyen'!B26:P75,15,FALSE)</f>
        <v>#N/A</v>
      </c>
      <c r="P28" s="34" t="e">
        <f t="shared" si="3"/>
        <v>#N/A</v>
      </c>
    </row>
    <row r="29" spans="1:16" ht="33" customHeight="1" x14ac:dyDescent="0.3">
      <c r="A29" s="37">
        <f>+'Salaire moyen'!B27</f>
        <v>0</v>
      </c>
      <c r="B29" s="37"/>
      <c r="C29" s="43"/>
      <c r="D29" s="43"/>
      <c r="E29" s="44"/>
      <c r="F29" s="113"/>
      <c r="G29" s="113"/>
      <c r="H29" s="113"/>
      <c r="I29" s="113"/>
      <c r="J29" s="12"/>
      <c r="K29" s="12"/>
      <c r="L29" s="23">
        <f t="shared" si="0"/>
        <v>0</v>
      </c>
      <c r="M29" s="45">
        <f t="shared" si="1"/>
        <v>0</v>
      </c>
      <c r="N29" s="18">
        <f t="shared" si="2"/>
        <v>0</v>
      </c>
      <c r="O29" s="14" t="e">
        <f>+VLOOKUP(A29,'Salaire moyen'!B27:P76,15,FALSE)</f>
        <v>#N/A</v>
      </c>
      <c r="P29" s="34" t="e">
        <f t="shared" si="3"/>
        <v>#N/A</v>
      </c>
    </row>
    <row r="30" spans="1:16" ht="33" customHeight="1" x14ac:dyDescent="0.3">
      <c r="A30" s="37">
        <f>+'Salaire moyen'!B28</f>
        <v>0</v>
      </c>
      <c r="B30" s="37"/>
      <c r="C30" s="43"/>
      <c r="D30" s="43"/>
      <c r="E30" s="44"/>
      <c r="F30" s="113"/>
      <c r="G30" s="113"/>
      <c r="H30" s="113"/>
      <c r="I30" s="113"/>
      <c r="J30" s="12"/>
      <c r="K30" s="12"/>
      <c r="L30" s="23">
        <f t="shared" si="0"/>
        <v>0</v>
      </c>
      <c r="M30" s="45">
        <f t="shared" si="1"/>
        <v>0</v>
      </c>
      <c r="N30" s="18">
        <f t="shared" si="2"/>
        <v>0</v>
      </c>
      <c r="O30" s="14" t="e">
        <f>+VLOOKUP(A30,'Salaire moyen'!B28:P77,15,FALSE)</f>
        <v>#N/A</v>
      </c>
      <c r="P30" s="34" t="e">
        <f t="shared" si="3"/>
        <v>#N/A</v>
      </c>
    </row>
    <row r="31" spans="1:16" ht="33" customHeight="1" x14ac:dyDescent="0.3">
      <c r="A31" s="37">
        <f>+'Salaire moyen'!B29</f>
        <v>0</v>
      </c>
      <c r="B31" s="37"/>
      <c r="C31" s="43"/>
      <c r="D31" s="43"/>
      <c r="E31" s="44"/>
      <c r="F31" s="113"/>
      <c r="G31" s="113"/>
      <c r="H31" s="113"/>
      <c r="I31" s="113"/>
      <c r="J31" s="12"/>
      <c r="K31" s="12"/>
      <c r="L31" s="23">
        <f t="shared" si="0"/>
        <v>0</v>
      </c>
      <c r="M31" s="45">
        <f t="shared" si="1"/>
        <v>0</v>
      </c>
      <c r="N31" s="18">
        <f t="shared" si="2"/>
        <v>0</v>
      </c>
      <c r="O31" s="14" t="e">
        <f>+VLOOKUP(A31,'Salaire moyen'!B29:P78,15,FALSE)</f>
        <v>#N/A</v>
      </c>
      <c r="P31" s="34" t="e">
        <f t="shared" si="3"/>
        <v>#N/A</v>
      </c>
    </row>
    <row r="32" spans="1:16" ht="33" customHeight="1" x14ac:dyDescent="0.3">
      <c r="A32" s="37">
        <f>+'Salaire moyen'!B30</f>
        <v>0</v>
      </c>
      <c r="B32" s="37"/>
      <c r="C32" s="43"/>
      <c r="D32" s="43"/>
      <c r="E32" s="44"/>
      <c r="F32" s="113"/>
      <c r="G32" s="113"/>
      <c r="H32" s="113"/>
      <c r="I32" s="113"/>
      <c r="J32" s="12"/>
      <c r="K32" s="12"/>
      <c r="L32" s="23">
        <f t="shared" si="0"/>
        <v>0</v>
      </c>
      <c r="M32" s="45">
        <f t="shared" si="1"/>
        <v>0</v>
      </c>
      <c r="N32" s="18">
        <f t="shared" si="2"/>
        <v>0</v>
      </c>
      <c r="O32" s="14" t="e">
        <f>+VLOOKUP(A32,'Salaire moyen'!B30:P79,15,FALSE)</f>
        <v>#N/A</v>
      </c>
      <c r="P32" s="34" t="e">
        <f t="shared" si="3"/>
        <v>#N/A</v>
      </c>
    </row>
    <row r="33" spans="1:16" ht="33" customHeight="1" x14ac:dyDescent="0.3">
      <c r="A33" s="37">
        <f>+'Salaire moyen'!B32</f>
        <v>0</v>
      </c>
      <c r="B33" s="37"/>
      <c r="C33" s="43"/>
      <c r="D33" s="43"/>
      <c r="E33" s="44"/>
      <c r="F33" s="113"/>
      <c r="G33" s="113"/>
      <c r="H33" s="113"/>
      <c r="I33" s="113"/>
      <c r="J33" s="12"/>
      <c r="K33" s="12"/>
      <c r="L33" s="23">
        <f t="shared" si="0"/>
        <v>0</v>
      </c>
      <c r="M33" s="45">
        <f t="shared" si="1"/>
        <v>0</v>
      </c>
      <c r="N33" s="18">
        <f t="shared" si="2"/>
        <v>0</v>
      </c>
      <c r="O33" s="14" t="e">
        <f>+VLOOKUP(A33,'Salaire moyen'!B32:P81,15,FALSE)</f>
        <v>#N/A</v>
      </c>
      <c r="P33" s="34" t="e">
        <f t="shared" si="3"/>
        <v>#N/A</v>
      </c>
    </row>
    <row r="34" spans="1:16" ht="33" customHeight="1" x14ac:dyDescent="0.3">
      <c r="A34" s="37">
        <f>+'Salaire moyen'!B33</f>
        <v>0</v>
      </c>
      <c r="B34" s="37"/>
      <c r="C34" s="43"/>
      <c r="D34" s="43"/>
      <c r="E34" s="44"/>
      <c r="F34" s="113"/>
      <c r="G34" s="113"/>
      <c r="H34" s="113"/>
      <c r="I34" s="113"/>
      <c r="J34" s="12"/>
      <c r="K34" s="12"/>
      <c r="L34" s="23">
        <f t="shared" si="0"/>
        <v>0</v>
      </c>
      <c r="M34" s="45">
        <f t="shared" si="1"/>
        <v>0</v>
      </c>
      <c r="N34" s="18">
        <f t="shared" si="2"/>
        <v>0</v>
      </c>
      <c r="O34" s="14" t="e">
        <f>+VLOOKUP(A34,'Salaire moyen'!B33:P82,15,FALSE)</f>
        <v>#N/A</v>
      </c>
      <c r="P34" s="34" t="e">
        <f t="shared" si="3"/>
        <v>#N/A</v>
      </c>
    </row>
    <row r="35" spans="1:16" ht="33" customHeight="1" x14ac:dyDescent="0.3">
      <c r="A35" s="37">
        <f>+'Salaire moyen'!B34</f>
        <v>0</v>
      </c>
      <c r="B35" s="37"/>
      <c r="C35" s="43"/>
      <c r="D35" s="43"/>
      <c r="E35" s="44"/>
      <c r="F35" s="113"/>
      <c r="G35" s="113"/>
      <c r="H35" s="113"/>
      <c r="I35" s="113"/>
      <c r="J35" s="12"/>
      <c r="K35" s="12"/>
      <c r="L35" s="23">
        <f t="shared" si="0"/>
        <v>0</v>
      </c>
      <c r="M35" s="45">
        <f t="shared" si="1"/>
        <v>0</v>
      </c>
      <c r="N35" s="18">
        <f t="shared" si="2"/>
        <v>0</v>
      </c>
      <c r="O35" s="14" t="e">
        <f>+VLOOKUP(A35,'Salaire moyen'!B34:P83,15,FALSE)</f>
        <v>#N/A</v>
      </c>
      <c r="P35" s="34" t="e">
        <f t="shared" si="3"/>
        <v>#N/A</v>
      </c>
    </row>
    <row r="36" spans="1:16" ht="33" customHeight="1" x14ac:dyDescent="0.3">
      <c r="A36" s="37">
        <f>+'Salaire moyen'!B35</f>
        <v>0</v>
      </c>
      <c r="B36" s="37"/>
      <c r="C36" s="43"/>
      <c r="D36" s="43"/>
      <c r="E36" s="44"/>
      <c r="F36" s="113"/>
      <c r="G36" s="113"/>
      <c r="H36" s="113"/>
      <c r="I36" s="113"/>
      <c r="J36" s="12"/>
      <c r="K36" s="12"/>
      <c r="L36" s="23">
        <f t="shared" si="0"/>
        <v>0</v>
      </c>
      <c r="M36" s="45">
        <f t="shared" si="1"/>
        <v>0</v>
      </c>
      <c r="N36" s="18">
        <f t="shared" si="2"/>
        <v>0</v>
      </c>
      <c r="O36" s="14" t="e">
        <f>+VLOOKUP(A36,'Salaire moyen'!B35:P84,15,FALSE)</f>
        <v>#N/A</v>
      </c>
      <c r="P36" s="34" t="e">
        <f t="shared" si="3"/>
        <v>#N/A</v>
      </c>
    </row>
    <row r="37" spans="1:16" ht="33" customHeight="1" x14ac:dyDescent="0.3">
      <c r="A37" s="37">
        <f>+'Salaire moyen'!B36</f>
        <v>0</v>
      </c>
      <c r="B37" s="37"/>
      <c r="C37" s="43"/>
      <c r="D37" s="43"/>
      <c r="E37" s="44"/>
      <c r="F37" s="113"/>
      <c r="G37" s="113"/>
      <c r="H37" s="113"/>
      <c r="I37" s="113"/>
      <c r="J37" s="12"/>
      <c r="K37" s="12"/>
      <c r="L37" s="23">
        <f t="shared" si="0"/>
        <v>0</v>
      </c>
      <c r="M37" s="45">
        <f t="shared" si="1"/>
        <v>0</v>
      </c>
      <c r="N37" s="18">
        <f t="shared" si="2"/>
        <v>0</v>
      </c>
      <c r="O37" s="14" t="e">
        <f>+VLOOKUP(A37,'Salaire moyen'!B36:P85,15,FALSE)</f>
        <v>#N/A</v>
      </c>
      <c r="P37" s="34" t="e">
        <f t="shared" si="3"/>
        <v>#N/A</v>
      </c>
    </row>
    <row r="38" spans="1:16" ht="33" customHeight="1" x14ac:dyDescent="0.3">
      <c r="A38" s="37">
        <f>+'Salaire moyen'!B37</f>
        <v>0</v>
      </c>
      <c r="B38" s="37"/>
      <c r="C38" s="43"/>
      <c r="D38" s="43"/>
      <c r="E38" s="44"/>
      <c r="F38" s="113"/>
      <c r="G38" s="113"/>
      <c r="H38" s="113"/>
      <c r="I38" s="113"/>
      <c r="J38" s="12"/>
      <c r="K38" s="12"/>
      <c r="L38" s="23">
        <f t="shared" si="0"/>
        <v>0</v>
      </c>
      <c r="M38" s="45">
        <f t="shared" si="1"/>
        <v>0</v>
      </c>
      <c r="N38" s="18">
        <f t="shared" si="2"/>
        <v>0</v>
      </c>
      <c r="O38" s="14" t="e">
        <f>+VLOOKUP(A38,'Salaire moyen'!B37:P86,15,FALSE)</f>
        <v>#N/A</v>
      </c>
      <c r="P38" s="34" t="e">
        <f t="shared" si="3"/>
        <v>#N/A</v>
      </c>
    </row>
    <row r="39" spans="1:16" ht="33" customHeight="1" x14ac:dyDescent="0.3">
      <c r="A39" s="37">
        <f>+'Salaire moyen'!B38</f>
        <v>0</v>
      </c>
      <c r="B39" s="37"/>
      <c r="C39" s="43"/>
      <c r="D39" s="43"/>
      <c r="E39" s="44"/>
      <c r="F39" s="113"/>
      <c r="G39" s="113"/>
      <c r="H39" s="113"/>
      <c r="I39" s="113"/>
      <c r="J39" s="12"/>
      <c r="K39" s="12"/>
      <c r="L39" s="23">
        <f t="shared" si="0"/>
        <v>0</v>
      </c>
      <c r="M39" s="45">
        <f t="shared" si="1"/>
        <v>0</v>
      </c>
      <c r="N39" s="18">
        <f t="shared" si="2"/>
        <v>0</v>
      </c>
      <c r="O39" s="14" t="e">
        <f>+VLOOKUP(A39,'Salaire moyen'!B38:P87,15,FALSE)</f>
        <v>#N/A</v>
      </c>
      <c r="P39" s="34" t="e">
        <f t="shared" si="3"/>
        <v>#N/A</v>
      </c>
    </row>
    <row r="40" spans="1:16" ht="33" customHeight="1" x14ac:dyDescent="0.3">
      <c r="A40" s="37">
        <f>+'Salaire moyen'!B39</f>
        <v>0</v>
      </c>
      <c r="B40" s="37"/>
      <c r="C40" s="43"/>
      <c r="D40" s="43"/>
      <c r="E40" s="44"/>
      <c r="F40" s="113"/>
      <c r="G40" s="113"/>
      <c r="H40" s="113"/>
      <c r="I40" s="113"/>
      <c r="J40" s="12"/>
      <c r="K40" s="12"/>
      <c r="L40" s="23">
        <f t="shared" si="0"/>
        <v>0</v>
      </c>
      <c r="M40" s="45">
        <f t="shared" si="1"/>
        <v>0</v>
      </c>
      <c r="N40" s="18">
        <f t="shared" si="2"/>
        <v>0</v>
      </c>
      <c r="O40" s="14" t="e">
        <f>+VLOOKUP(A40,'Salaire moyen'!B39:P88,15,FALSE)</f>
        <v>#N/A</v>
      </c>
      <c r="P40" s="34" t="e">
        <f t="shared" si="3"/>
        <v>#N/A</v>
      </c>
    </row>
    <row r="41" spans="1:16" ht="33" customHeight="1" x14ac:dyDescent="0.3">
      <c r="A41" s="37">
        <f>+'Salaire moyen'!B40</f>
        <v>0</v>
      </c>
      <c r="B41" s="37"/>
      <c r="C41" s="43"/>
      <c r="D41" s="43"/>
      <c r="E41" s="44"/>
      <c r="F41" s="113"/>
      <c r="G41" s="113"/>
      <c r="H41" s="113"/>
      <c r="I41" s="113"/>
      <c r="J41" s="12"/>
      <c r="K41" s="12"/>
      <c r="L41" s="23">
        <f t="shared" si="0"/>
        <v>0</v>
      </c>
      <c r="M41" s="45">
        <f t="shared" si="1"/>
        <v>0</v>
      </c>
      <c r="N41" s="18">
        <f t="shared" si="2"/>
        <v>0</v>
      </c>
      <c r="O41" s="14" t="e">
        <f>+VLOOKUP(A41,'Salaire moyen'!B40:P89,15,FALSE)</f>
        <v>#N/A</v>
      </c>
      <c r="P41" s="34" t="e">
        <f t="shared" si="3"/>
        <v>#N/A</v>
      </c>
    </row>
    <row r="42" spans="1:16" ht="33" customHeight="1" x14ac:dyDescent="0.3">
      <c r="A42" s="37">
        <f>+'Salaire moyen'!B41</f>
        <v>0</v>
      </c>
      <c r="B42" s="37"/>
      <c r="C42" s="43"/>
      <c r="D42" s="43"/>
      <c r="E42" s="44"/>
      <c r="F42" s="113"/>
      <c r="G42" s="113"/>
      <c r="H42" s="113"/>
      <c r="I42" s="113"/>
      <c r="J42" s="12"/>
      <c r="K42" s="12"/>
      <c r="L42" s="23">
        <f t="shared" si="0"/>
        <v>0</v>
      </c>
      <c r="M42" s="45">
        <f t="shared" si="1"/>
        <v>0</v>
      </c>
      <c r="N42" s="18">
        <f t="shared" si="2"/>
        <v>0</v>
      </c>
      <c r="O42" s="14" t="e">
        <f>+VLOOKUP(A42,'Salaire moyen'!B41:P90,15,FALSE)</f>
        <v>#N/A</v>
      </c>
      <c r="P42" s="34" t="e">
        <f t="shared" si="3"/>
        <v>#N/A</v>
      </c>
    </row>
    <row r="43" spans="1:16" ht="33" customHeight="1" x14ac:dyDescent="0.3">
      <c r="A43" s="37">
        <f>+'Salaire moyen'!B42</f>
        <v>0</v>
      </c>
      <c r="B43" s="37"/>
      <c r="C43" s="43"/>
      <c r="D43" s="43"/>
      <c r="E43" s="44"/>
      <c r="F43" s="113"/>
      <c r="G43" s="113"/>
      <c r="H43" s="113"/>
      <c r="I43" s="113"/>
      <c r="J43" s="12"/>
      <c r="K43" s="12"/>
      <c r="L43" s="23">
        <f t="shared" si="0"/>
        <v>0</v>
      </c>
      <c r="M43" s="45">
        <f t="shared" si="1"/>
        <v>0</v>
      </c>
      <c r="N43" s="18">
        <f t="shared" si="2"/>
        <v>0</v>
      </c>
      <c r="O43" s="14" t="e">
        <f>+VLOOKUP(A43,'Salaire moyen'!B42:P91,15,FALSE)</f>
        <v>#N/A</v>
      </c>
      <c r="P43" s="34" t="e">
        <f t="shared" si="3"/>
        <v>#N/A</v>
      </c>
    </row>
    <row r="44" spans="1:16" ht="33" customHeight="1" x14ac:dyDescent="0.3">
      <c r="A44" s="37">
        <f>+'Salaire moyen'!B43</f>
        <v>0</v>
      </c>
      <c r="B44" s="37"/>
      <c r="C44" s="43"/>
      <c r="D44" s="43"/>
      <c r="E44" s="44"/>
      <c r="F44" s="113"/>
      <c r="G44" s="113"/>
      <c r="H44" s="113"/>
      <c r="I44" s="113"/>
      <c r="J44" s="12"/>
      <c r="K44" s="12"/>
      <c r="L44" s="23">
        <f t="shared" si="0"/>
        <v>0</v>
      </c>
      <c r="M44" s="45">
        <f t="shared" si="1"/>
        <v>0</v>
      </c>
      <c r="N44" s="18">
        <f t="shared" si="2"/>
        <v>0</v>
      </c>
      <c r="O44" s="14" t="e">
        <f>+VLOOKUP(A44,'Salaire moyen'!B43:P92,15,FALSE)</f>
        <v>#N/A</v>
      </c>
      <c r="P44" s="34" t="e">
        <f t="shared" si="3"/>
        <v>#N/A</v>
      </c>
    </row>
    <row r="45" spans="1:16" ht="33" customHeight="1" x14ac:dyDescent="0.3">
      <c r="A45" s="37">
        <f>+'Salaire moyen'!B44</f>
        <v>0</v>
      </c>
      <c r="B45" s="37"/>
      <c r="C45" s="43"/>
      <c r="D45" s="43"/>
      <c r="E45" s="44"/>
      <c r="F45" s="113"/>
      <c r="G45" s="113"/>
      <c r="H45" s="113"/>
      <c r="I45" s="113"/>
      <c r="J45" s="12"/>
      <c r="K45" s="12"/>
      <c r="L45" s="23">
        <f t="shared" si="0"/>
        <v>0</v>
      </c>
      <c r="M45" s="45">
        <f t="shared" si="1"/>
        <v>0</v>
      </c>
      <c r="N45" s="18">
        <f t="shared" si="2"/>
        <v>0</v>
      </c>
      <c r="O45" s="14" t="e">
        <f>+VLOOKUP(A45,'Salaire moyen'!B44:P93,15,FALSE)</f>
        <v>#N/A</v>
      </c>
      <c r="P45" s="34" t="e">
        <f t="shared" si="3"/>
        <v>#N/A</v>
      </c>
    </row>
    <row r="46" spans="1:16" ht="33" customHeight="1" x14ac:dyDescent="0.3">
      <c r="A46" s="37">
        <f>+'Salaire moyen'!B45</f>
        <v>0</v>
      </c>
      <c r="B46" s="37"/>
      <c r="C46" s="43"/>
      <c r="D46" s="43"/>
      <c r="E46" s="44"/>
      <c r="F46" s="113"/>
      <c r="G46" s="113"/>
      <c r="H46" s="113"/>
      <c r="I46" s="113"/>
      <c r="J46" s="12"/>
      <c r="K46" s="12"/>
      <c r="L46" s="23">
        <f t="shared" si="0"/>
        <v>0</v>
      </c>
      <c r="M46" s="45">
        <f t="shared" si="1"/>
        <v>0</v>
      </c>
      <c r="N46" s="18">
        <f t="shared" si="2"/>
        <v>0</v>
      </c>
      <c r="O46" s="14" t="e">
        <f>+VLOOKUP(A46,'Salaire moyen'!B45:P94,15,FALSE)</f>
        <v>#N/A</v>
      </c>
      <c r="P46" s="34" t="e">
        <f t="shared" si="3"/>
        <v>#N/A</v>
      </c>
    </row>
  </sheetData>
  <sheetProtection deleteRows="0" selectLockedCells="1" selectUnlockedCells="1"/>
  <dataConsolidate/>
  <mergeCells count="15">
    <mergeCell ref="F5:F6"/>
    <mergeCell ref="O5:O6"/>
    <mergeCell ref="P5:P6"/>
    <mergeCell ref="M5:M6"/>
    <mergeCell ref="A5:A6"/>
    <mergeCell ref="G5:G6"/>
    <mergeCell ref="E5:E6"/>
    <mergeCell ref="H5:I5"/>
    <mergeCell ref="J5:J6"/>
    <mergeCell ref="C5:C6"/>
    <mergeCell ref="B5:B6"/>
    <mergeCell ref="N5:N6"/>
    <mergeCell ref="K5:K6"/>
    <mergeCell ref="L5:L6"/>
    <mergeCell ref="D5:D6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Base!$B$4:$B$5</xm:f>
          </x14:formula1>
          <xm:sqref>C7:C46</xm:sqref>
        </x14:dataValidation>
        <x14:dataValidation type="list" allowBlank="1" showInputMessage="1" showErrorMessage="1">
          <x14:formula1>
            <xm:f>Base!$A$3:$A$5</xm:f>
          </x14:formula1>
          <xm:sqref>B7:B46</xm:sqref>
        </x14:dataValidation>
        <x14:dataValidation type="list" allowBlank="1" showInputMessage="1" showErrorMessage="1">
          <x14:formula1>
            <xm:f>Base!$C$3:$C$6</xm:f>
          </x14:formula1>
          <xm:sqref>D7:D46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V43"/>
  <sheetViews>
    <sheetView zoomScale="90" zoomScaleNormal="90" workbookViewId="0">
      <pane xSplit="1" ySplit="3" topLeftCell="B4" activePane="bottomRight" state="frozen"/>
      <selection pane="topRight" activeCell="B1" sqref="B1"/>
      <selection pane="bottomLeft" activeCell="A6" sqref="A6"/>
      <selection pane="bottomRight" activeCell="H4" sqref="H4"/>
    </sheetView>
  </sheetViews>
  <sheetFormatPr baseColWidth="10" defaultColWidth="9.140625" defaultRowHeight="16.5" x14ac:dyDescent="0.3"/>
  <cols>
    <col min="1" max="1" width="22.7109375" style="1" customWidth="1"/>
    <col min="2" max="2" width="14.28515625" style="1" customWidth="1"/>
    <col min="3" max="3" width="10.28515625" style="1" customWidth="1"/>
    <col min="4" max="4" width="15" style="1" customWidth="1"/>
    <col min="5" max="5" width="11.42578125" style="1" customWidth="1"/>
    <col min="6" max="6" width="12.5703125" style="1" customWidth="1"/>
    <col min="7" max="7" width="11.85546875" style="1" customWidth="1"/>
    <col min="8" max="8" width="12.5703125" style="1" customWidth="1"/>
    <col min="9" max="9" width="15.28515625" style="1" customWidth="1"/>
    <col min="10" max="10" width="10.5703125" style="1" customWidth="1"/>
    <col min="11" max="11" width="12.5703125" style="1" customWidth="1"/>
    <col min="12" max="12" width="15" style="1" customWidth="1"/>
    <col min="13" max="13" width="14.5703125" style="1" customWidth="1"/>
    <col min="14" max="14" width="14.28515625" style="1" customWidth="1"/>
    <col min="15" max="15" width="12.7109375" style="1" customWidth="1"/>
    <col min="16" max="16" width="11.5703125" style="1" customWidth="1"/>
    <col min="17" max="17" width="13.28515625" style="1" customWidth="1"/>
    <col min="18" max="21" width="12.42578125" style="1" hidden="1" customWidth="1"/>
    <col min="22" max="22" width="16" style="1" hidden="1" customWidth="1"/>
    <col min="23" max="16384" width="9.140625" style="1"/>
  </cols>
  <sheetData>
    <row r="1" spans="1:22" x14ac:dyDescent="0.3">
      <c r="J1" s="11"/>
      <c r="K1" s="11"/>
    </row>
    <row r="2" spans="1:22" ht="47.25" customHeight="1" x14ac:dyDescent="0.3">
      <c r="A2" s="6"/>
      <c r="B2" s="133"/>
      <c r="C2" s="133"/>
      <c r="D2" s="133"/>
      <c r="E2" s="133"/>
      <c r="F2" s="133"/>
      <c r="G2" s="134"/>
      <c r="H2" s="135" t="s">
        <v>1</v>
      </c>
      <c r="I2" s="135"/>
      <c r="J2" s="136" t="s">
        <v>2</v>
      </c>
      <c r="K2" s="136"/>
      <c r="L2" s="137" t="s">
        <v>82</v>
      </c>
      <c r="M2" s="139"/>
      <c r="N2" s="2"/>
      <c r="O2" s="136" t="s">
        <v>3</v>
      </c>
      <c r="P2" s="136"/>
      <c r="R2" s="137" t="s">
        <v>4</v>
      </c>
      <c r="S2" s="138"/>
      <c r="T2" s="138"/>
      <c r="U2" s="139"/>
    </row>
    <row r="3" spans="1:22" ht="63.75" customHeight="1" x14ac:dyDescent="0.3">
      <c r="A3" s="2" t="s">
        <v>0</v>
      </c>
      <c r="B3" s="3" t="s">
        <v>5</v>
      </c>
      <c r="C3" s="3" t="s">
        <v>6</v>
      </c>
      <c r="D3" s="3" t="s">
        <v>7</v>
      </c>
      <c r="E3" s="2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83</v>
      </c>
      <c r="M3" s="3" t="s">
        <v>37</v>
      </c>
      <c r="N3" s="3" t="s">
        <v>15</v>
      </c>
      <c r="O3" s="3" t="s">
        <v>16</v>
      </c>
      <c r="P3" s="2" t="s">
        <v>17</v>
      </c>
      <c r="Q3" s="3" t="s">
        <v>18</v>
      </c>
      <c r="R3" s="7" t="s">
        <v>19</v>
      </c>
      <c r="S3" s="7" t="s">
        <v>16</v>
      </c>
      <c r="T3" s="8" t="s">
        <v>17</v>
      </c>
      <c r="U3" s="7" t="s">
        <v>20</v>
      </c>
      <c r="V3" s="3" t="s">
        <v>21</v>
      </c>
    </row>
    <row r="4" spans="1:22" x14ac:dyDescent="0.3">
      <c r="A4" s="15">
        <f>+'Brute allocat°'!A7</f>
        <v>0</v>
      </c>
      <c r="B4" s="13" t="e">
        <f>+VLOOKUP(A4,'Salaire moyen'!$B$5:$O$43,14,FALSE)</f>
        <v>#N/A</v>
      </c>
      <c r="C4" s="13"/>
      <c r="D4" s="16"/>
      <c r="E4" s="13" t="e">
        <f t="shared" ref="E4:E43" si="0">+B4+C4+D4</f>
        <v>#N/A</v>
      </c>
      <c r="F4" s="13" t="e">
        <f>+E4/VLOOKUP(A4,'Salaire moyen'!$B$5:$Q$43,16,FALSE)</f>
        <v>#N/A</v>
      </c>
      <c r="G4" s="17" t="e">
        <f t="shared" ref="G4:G43" si="1">+IF(F4&lt;=60000,0,IF(AND(F4&gt;60000,F4&lt;=150000),(INT(F4/1000)*1000-60000)*10%,IF(AND(F4&gt;150000,F4&lt;=250000),(INT(F4/1000)*1000-150000)*15%+9000,IF(AND(F4&gt;250000,F4&lt;=500000),(INT(F4/1000)*1000-250000)*19%+24000,IF(F4&gt;500000,(INT(F4/1000)*1000-500000)*30%+71500)))))</f>
        <v>#N/A</v>
      </c>
      <c r="H4" s="13"/>
      <c r="I4" s="13" t="e">
        <f>+'Brute allocat°'!P7</f>
        <v>#N/A</v>
      </c>
      <c r="J4" s="13" t="e">
        <f>+((H4+I4)/F4)*G4</f>
        <v>#N/A</v>
      </c>
      <c r="K4" s="13" t="e">
        <f>+'Brute allocat°'!P7*3.6%</f>
        <v>#N/A</v>
      </c>
      <c r="L4" s="13">
        <f>+IF(AND('Brute allocat°'!D7=Base!$C$3,'Brute allocat°'!B7=Base!$A$3),('Brute allocat°'!E7/(173.333333333333))*(NETWORKDAYS('Brute allocat°'!G7,'Brute allocat°'!F7)*8),IF(AND('Brute allocat°'!D7=Base!$C$3,'Brute allocat°'!B7=Base!$A$4,'Brute allocat°'!C7=Base!$B$5),'Brute allocat°'!E7,IF(AND('Brute allocat°'!D7=Base!$C$3,'Brute allocat°'!B7=Base!$A$4,'Brute allocat°'!C7=Base!$B$4),'Brute allocat°'!E7*3,IF(AND('Brute allocat°'!D7=Base!$C$5,'Brute allocat°'!B7=Base!$A$3),('Brute allocat°'!E7/(173.333333333333))*NETWORKDAYS('Brute allocat°'!G7,'Brute allocat°'!F7)*(-8),IF(AND('Brute allocat°'!D7=Base!$C$5,'Brute allocat°'!B7=Base!$A$4,'Brute allocat°'!C7=Base!$B$5),'Brute allocat°'!E7*(-1),IF(AND('Brute allocat°'!D7=Base!$C$5,'Brute allocat°'!C7=Base!$B$4),'Brute allocat°'!E7*(-3),0))))))</f>
        <v>-203962.8000000004</v>
      </c>
      <c r="M4" s="13"/>
      <c r="N4" s="13" t="e">
        <f>+'Brute allocat°'!P7-'Nette allocat°'!J4-'Nette allocat°'!K4+L4+M4</f>
        <v>#N/A</v>
      </c>
      <c r="O4" s="13" t="e">
        <f>+'Brute allocat°'!P7*17.4%</f>
        <v>#N/A</v>
      </c>
      <c r="P4" s="13" t="e">
        <f>+'Brute allocat°'!P7*4%</f>
        <v>#N/A</v>
      </c>
      <c r="Q4" s="13" t="e">
        <f>+'Brute allocat°'!P7+'Nette allocat°'!O4+'Nette allocat°'!P4</f>
        <v>#N/A</v>
      </c>
      <c r="R4" s="4">
        <v>185266</v>
      </c>
      <c r="S4" s="5">
        <f t="shared" ref="S4:S5" si="2">+R4*0.174</f>
        <v>32236.283999999996</v>
      </c>
      <c r="T4" s="5">
        <f t="shared" ref="T4:T5" si="3">+R4*0.04</f>
        <v>7410.64</v>
      </c>
      <c r="U4" s="5">
        <f t="shared" ref="U4:U5" si="4">+R4*1.214</f>
        <v>224912.924</v>
      </c>
      <c r="V4" s="9" t="e">
        <f t="shared" ref="V4:V5" si="5">+Q4+U4</f>
        <v>#N/A</v>
      </c>
    </row>
    <row r="5" spans="1:22" x14ac:dyDescent="0.3">
      <c r="A5" s="15">
        <f>+'Brute allocat°'!A8</f>
        <v>0</v>
      </c>
      <c r="B5" s="13" t="e">
        <f>+VLOOKUP(A5,'Salaire moyen'!$B$5:$O$43,14,FALSE)</f>
        <v>#N/A</v>
      </c>
      <c r="C5" s="13"/>
      <c r="D5" s="16"/>
      <c r="E5" s="13" t="e">
        <f t="shared" si="0"/>
        <v>#N/A</v>
      </c>
      <c r="F5" s="13" t="e">
        <f>+E5/VLOOKUP(A5,'Salaire moyen'!$B$5:$Q$43,16,FALSE)</f>
        <v>#N/A</v>
      </c>
      <c r="G5" s="17" t="e">
        <f t="shared" si="1"/>
        <v>#N/A</v>
      </c>
      <c r="H5" s="13"/>
      <c r="I5" s="13" t="e">
        <f>+'Brute allocat°'!P8</f>
        <v>#N/A</v>
      </c>
      <c r="J5" s="13" t="e">
        <f t="shared" ref="J5:J43" si="6">+((H4+I5)/F5)*G5</f>
        <v>#N/A</v>
      </c>
      <c r="K5" s="13" t="e">
        <f>+'Brute allocat°'!P8*3.6%</f>
        <v>#N/A</v>
      </c>
      <c r="L5" s="13">
        <f>+IF(AND('Brute allocat°'!D8=Base!$C$3,'Brute allocat°'!B8=Base!$A$3),('Brute allocat°'!E8/(173.333333333333))*(NETWORKDAYS('Brute allocat°'!G8,'Brute allocat°'!F8)*8),IF(AND('Brute allocat°'!D8=Base!$C$3,'Brute allocat°'!B8=Base!$A$4,'Brute allocat°'!C8=Base!$B$5),'Brute allocat°'!E8,IF(AND('Brute allocat°'!D8=Base!$C$3,'Brute allocat°'!B8=Base!$A$4,'Brute allocat°'!C8=Base!$B$4),'Brute allocat°'!E8*3,IF(AND('Brute allocat°'!D8=Base!$C$5,'Brute allocat°'!B8=Base!$A$3),('Brute allocat°'!E8/(173.333333333333))*NETWORKDAYS('Brute allocat°'!G8,'Brute allocat°'!F8)*(-8),IF(AND('Brute allocat°'!D8=Base!$C$5,'Brute allocat°'!B8=Base!$A$4,'Brute allocat°'!C8=Base!$B$5),'Brute allocat°'!E8*(-1),IF(AND('Brute allocat°'!D8=Base!$C$5,'Brute allocat°'!C8=Base!$B$4),'Brute allocat°'!E8*(-3),0))))))</f>
        <v>0</v>
      </c>
      <c r="M5" s="13"/>
      <c r="N5" s="13" t="e">
        <f>+'Brute allocat°'!P8-'Nette allocat°'!J5-'Nette allocat°'!K5+L5+M5</f>
        <v>#N/A</v>
      </c>
      <c r="O5" s="13" t="e">
        <f>+'Brute allocat°'!P8*17.4%</f>
        <v>#N/A</v>
      </c>
      <c r="P5" s="13" t="e">
        <f>+'Brute allocat°'!P8*4%</f>
        <v>#N/A</v>
      </c>
      <c r="Q5" s="13" t="e">
        <f>+'Brute allocat°'!P8+'Nette allocat°'!O5+'Nette allocat°'!P5</f>
        <v>#N/A</v>
      </c>
      <c r="R5" s="4">
        <v>183567</v>
      </c>
      <c r="S5" s="5">
        <f t="shared" si="2"/>
        <v>31940.657999999999</v>
      </c>
      <c r="T5" s="5">
        <f t="shared" si="3"/>
        <v>7342.68</v>
      </c>
      <c r="U5" s="5">
        <f t="shared" si="4"/>
        <v>222850.33799999999</v>
      </c>
      <c r="V5" s="9" t="e">
        <f t="shared" si="5"/>
        <v>#N/A</v>
      </c>
    </row>
    <row r="6" spans="1:22" x14ac:dyDescent="0.3">
      <c r="A6" s="15">
        <f>+'Brute allocat°'!A9</f>
        <v>0</v>
      </c>
      <c r="B6" s="13" t="e">
        <f>+VLOOKUP(A6,'Salaire moyen'!$B$5:$O$43,14,FALSE)</f>
        <v>#N/A</v>
      </c>
      <c r="C6" s="13"/>
      <c r="D6" s="16"/>
      <c r="E6" s="13" t="e">
        <f t="shared" si="0"/>
        <v>#N/A</v>
      </c>
      <c r="F6" s="13" t="e">
        <f>+E6/VLOOKUP(A6,'Salaire moyen'!$B$5:$Q$43,16,FALSE)</f>
        <v>#N/A</v>
      </c>
      <c r="G6" s="17" t="e">
        <f t="shared" si="1"/>
        <v>#N/A</v>
      </c>
      <c r="H6" s="13"/>
      <c r="I6" s="13" t="e">
        <f>+'Brute allocat°'!P9</f>
        <v>#N/A</v>
      </c>
      <c r="J6" s="13" t="e">
        <f t="shared" si="6"/>
        <v>#N/A</v>
      </c>
      <c r="K6" s="13" t="e">
        <f>+'Brute allocat°'!P9*3.6%</f>
        <v>#N/A</v>
      </c>
      <c r="L6" s="13">
        <f>+IF(AND('Brute allocat°'!D9=Base!$C$3,'Brute allocat°'!B9=Base!$A$3),('Brute allocat°'!E9/(173.333333333333))*(NETWORKDAYS('Brute allocat°'!G9,'Brute allocat°'!F9)*8),IF(AND('Brute allocat°'!D9=Base!$C$3,'Brute allocat°'!B9=Base!$A$4,'Brute allocat°'!C9=Base!$B$5),'Brute allocat°'!E9,IF(AND('Brute allocat°'!D9=Base!$C$3,'Brute allocat°'!B9=Base!$A$4,'Brute allocat°'!C9=Base!$B$4),'Brute allocat°'!E9*3,IF(AND('Brute allocat°'!D9=Base!$C$5,'Brute allocat°'!B9=Base!$A$3),('Brute allocat°'!E9/(173.333333333333))*NETWORKDAYS('Brute allocat°'!G9,'Brute allocat°'!F9)*(-8),IF(AND('Brute allocat°'!D9=Base!$C$5,'Brute allocat°'!B9=Base!$A$4,'Brute allocat°'!C9=Base!$B$5),'Brute allocat°'!E9*(-1),IF(AND('Brute allocat°'!D9=Base!$C$5,'Brute allocat°'!C9=Base!$B$4),'Brute allocat°'!E9*(-3),0))))))</f>
        <v>0</v>
      </c>
      <c r="M6" s="13"/>
      <c r="N6" s="13" t="e">
        <f>+'Brute allocat°'!P9-'Nette allocat°'!J6-'Nette allocat°'!K6+L6+M6</f>
        <v>#N/A</v>
      </c>
      <c r="O6" s="13" t="e">
        <f>+'Brute allocat°'!P9*17.4%</f>
        <v>#N/A</v>
      </c>
      <c r="P6" s="13" t="e">
        <f>+'Brute allocat°'!P9*4%</f>
        <v>#N/A</v>
      </c>
      <c r="Q6" s="13" t="e">
        <f>+'Brute allocat°'!P9+'Nette allocat°'!O6+'Nette allocat°'!P6</f>
        <v>#N/A</v>
      </c>
      <c r="R6" s="4"/>
      <c r="S6" s="5"/>
      <c r="T6" s="5"/>
      <c r="U6" s="5"/>
      <c r="V6" s="9"/>
    </row>
    <row r="7" spans="1:22" x14ac:dyDescent="0.3">
      <c r="A7" s="15">
        <f>+'Brute allocat°'!A10</f>
        <v>0</v>
      </c>
      <c r="B7" s="13" t="e">
        <f>+VLOOKUP(A7,'Salaire moyen'!$B$5:$O$43,14,FALSE)</f>
        <v>#N/A</v>
      </c>
      <c r="C7" s="13"/>
      <c r="D7" s="16"/>
      <c r="E7" s="13" t="e">
        <f t="shared" si="0"/>
        <v>#N/A</v>
      </c>
      <c r="F7" s="13" t="e">
        <f>+E7/VLOOKUP(A7,'Salaire moyen'!$B$5:$Q$43,16,FALSE)</f>
        <v>#N/A</v>
      </c>
      <c r="G7" s="17" t="e">
        <f t="shared" si="1"/>
        <v>#N/A</v>
      </c>
      <c r="H7" s="13"/>
      <c r="I7" s="13" t="e">
        <f>+'Brute allocat°'!P10</f>
        <v>#N/A</v>
      </c>
      <c r="J7" s="13" t="e">
        <f t="shared" si="6"/>
        <v>#N/A</v>
      </c>
      <c r="K7" s="13" t="e">
        <f>+'Brute allocat°'!P10*3.6%</f>
        <v>#N/A</v>
      </c>
      <c r="L7" s="13">
        <f>+IF(AND('Brute allocat°'!D10=Base!$C$3,'Brute allocat°'!B10=Base!$A$3),('Brute allocat°'!E10/(173.333333333333))*(NETWORKDAYS('Brute allocat°'!G10,'Brute allocat°'!F10)*8),IF(AND('Brute allocat°'!D10=Base!$C$3,'Brute allocat°'!B10=Base!$A$4,'Brute allocat°'!C10=Base!$B$5),'Brute allocat°'!E10,IF(AND('Brute allocat°'!D10=Base!$C$3,'Brute allocat°'!B10=Base!$A$4,'Brute allocat°'!C10=Base!$B$4),'Brute allocat°'!E10*3,IF(AND('Brute allocat°'!D10=Base!$C$5,'Brute allocat°'!B10=Base!$A$3),('Brute allocat°'!E10/(173.333333333333))*NETWORKDAYS('Brute allocat°'!G10,'Brute allocat°'!F10)*(-8),IF(AND('Brute allocat°'!D10=Base!$C$5,'Brute allocat°'!B10=Base!$A$4,'Brute allocat°'!C10=Base!$B$5),'Brute allocat°'!E10*(-1),IF(AND('Brute allocat°'!D10=Base!$C$5,'Brute allocat°'!C10=Base!$B$4),'Brute allocat°'!E10*(-3),0))))))</f>
        <v>0</v>
      </c>
      <c r="M7" s="13"/>
      <c r="N7" s="13" t="e">
        <f>+'Brute allocat°'!P10-'Nette allocat°'!J7-'Nette allocat°'!K7+L7+M7</f>
        <v>#N/A</v>
      </c>
      <c r="O7" s="13" t="e">
        <f>+'Brute allocat°'!P10*17.4%</f>
        <v>#N/A</v>
      </c>
      <c r="P7" s="13" t="e">
        <f>+'Brute allocat°'!P10*4%</f>
        <v>#N/A</v>
      </c>
      <c r="Q7" s="13" t="e">
        <f>+'Brute allocat°'!P10+'Nette allocat°'!O7+'Nette allocat°'!P7</f>
        <v>#N/A</v>
      </c>
      <c r="R7" s="4"/>
      <c r="S7" s="5"/>
      <c r="T7" s="5"/>
      <c r="U7" s="5"/>
      <c r="V7" s="9"/>
    </row>
    <row r="8" spans="1:22" x14ac:dyDescent="0.3">
      <c r="A8" s="15">
        <f>+'Brute allocat°'!A11</f>
        <v>0</v>
      </c>
      <c r="B8" s="13" t="e">
        <f>+VLOOKUP(A8,'Salaire moyen'!$B$5:$O$43,14,FALSE)</f>
        <v>#N/A</v>
      </c>
      <c r="C8" s="13"/>
      <c r="D8" s="16"/>
      <c r="E8" s="13" t="e">
        <f t="shared" si="0"/>
        <v>#N/A</v>
      </c>
      <c r="F8" s="13" t="e">
        <f>+E8/VLOOKUP(A8,'Salaire moyen'!$B$5:$Q$43,16,FALSE)</f>
        <v>#N/A</v>
      </c>
      <c r="G8" s="17" t="e">
        <f t="shared" si="1"/>
        <v>#N/A</v>
      </c>
      <c r="H8" s="13"/>
      <c r="I8" s="13" t="e">
        <f>+'Brute allocat°'!P11</f>
        <v>#N/A</v>
      </c>
      <c r="J8" s="13" t="e">
        <f t="shared" si="6"/>
        <v>#N/A</v>
      </c>
      <c r="K8" s="13" t="e">
        <f>+'Brute allocat°'!P11*3.6%</f>
        <v>#N/A</v>
      </c>
      <c r="L8" s="13">
        <f>+IF(AND('Brute allocat°'!D11=Base!$C$3,'Brute allocat°'!B11=Base!$A$3),('Brute allocat°'!E11/(173.333333333333))*(NETWORKDAYS('Brute allocat°'!G11,'Brute allocat°'!F11)*8),IF(AND('Brute allocat°'!D11=Base!$C$3,'Brute allocat°'!B11=Base!$A$4,'Brute allocat°'!C11=Base!$B$5),'Brute allocat°'!E11,IF(AND('Brute allocat°'!D11=Base!$C$3,'Brute allocat°'!B11=Base!$A$4,'Brute allocat°'!C11=Base!$B$4),'Brute allocat°'!E11*3,IF(AND('Brute allocat°'!D11=Base!$C$5,'Brute allocat°'!B11=Base!$A$3),('Brute allocat°'!E11/(173.333333333333))*NETWORKDAYS('Brute allocat°'!G11,'Brute allocat°'!F11)*(-8),IF(AND('Brute allocat°'!D11=Base!$C$5,'Brute allocat°'!B11=Base!$A$4,'Brute allocat°'!C11=Base!$B$5),'Brute allocat°'!E11*(-1),IF(AND('Brute allocat°'!D11=Base!$C$5,'Brute allocat°'!C11=Base!$B$4),'Brute allocat°'!E11*(-3),0))))))</f>
        <v>0</v>
      </c>
      <c r="M8" s="13"/>
      <c r="N8" s="13" t="e">
        <f>+'Brute allocat°'!P11-'Nette allocat°'!J8-'Nette allocat°'!K8+L8+M8</f>
        <v>#N/A</v>
      </c>
      <c r="O8" s="13" t="e">
        <f>+'Brute allocat°'!P11*17.4%</f>
        <v>#N/A</v>
      </c>
      <c r="P8" s="13" t="e">
        <f>+'Brute allocat°'!P11*4%</f>
        <v>#N/A</v>
      </c>
      <c r="Q8" s="13" t="e">
        <f>+'Brute allocat°'!P11+'Nette allocat°'!O8+'Nette allocat°'!P8</f>
        <v>#N/A</v>
      </c>
      <c r="R8" s="4"/>
      <c r="S8" s="5"/>
      <c r="T8" s="5"/>
      <c r="U8" s="5"/>
      <c r="V8" s="9"/>
    </row>
    <row r="9" spans="1:22" x14ac:dyDescent="0.3">
      <c r="A9" s="15">
        <f>+'Brute allocat°'!A12</f>
        <v>0</v>
      </c>
      <c r="B9" s="13" t="e">
        <f>+VLOOKUP(A9,'Salaire moyen'!$B$5:$O$43,14,FALSE)</f>
        <v>#N/A</v>
      </c>
      <c r="C9" s="13"/>
      <c r="D9" s="16"/>
      <c r="E9" s="13" t="e">
        <f t="shared" si="0"/>
        <v>#N/A</v>
      </c>
      <c r="F9" s="13" t="e">
        <f>+E9/VLOOKUP(A9,'Salaire moyen'!$B$5:$Q$43,16,FALSE)</f>
        <v>#N/A</v>
      </c>
      <c r="G9" s="17" t="e">
        <f t="shared" si="1"/>
        <v>#N/A</v>
      </c>
      <c r="H9" s="13"/>
      <c r="I9" s="13" t="e">
        <f>+'Brute allocat°'!P12</f>
        <v>#N/A</v>
      </c>
      <c r="J9" s="13" t="e">
        <f t="shared" si="6"/>
        <v>#N/A</v>
      </c>
      <c r="K9" s="13" t="e">
        <f>+'Brute allocat°'!P12*3.6%</f>
        <v>#N/A</v>
      </c>
      <c r="L9" s="13">
        <f>+IF(AND('Brute allocat°'!D12=Base!$C$3,'Brute allocat°'!B12=Base!$A$3),('Brute allocat°'!E12/(173.333333333333))*(NETWORKDAYS('Brute allocat°'!G12,'Brute allocat°'!F12)*8),IF(AND('Brute allocat°'!D12=Base!$C$3,'Brute allocat°'!B12=Base!$A$4,'Brute allocat°'!C12=Base!$B$5),'Brute allocat°'!E12,IF(AND('Brute allocat°'!D12=Base!$C$3,'Brute allocat°'!B12=Base!$A$4,'Brute allocat°'!C12=Base!$B$4),'Brute allocat°'!E12*3,IF(AND('Brute allocat°'!D12=Base!$C$5,'Brute allocat°'!B12=Base!$A$3),('Brute allocat°'!E12/(173.333333333333))*NETWORKDAYS('Brute allocat°'!G12,'Brute allocat°'!F12)*(-8),IF(AND('Brute allocat°'!D12=Base!$C$5,'Brute allocat°'!B12=Base!$A$4,'Brute allocat°'!C12=Base!$B$5),'Brute allocat°'!E12*(-1),IF(AND('Brute allocat°'!D12=Base!$C$5,'Brute allocat°'!C12=Base!$B$4),'Brute allocat°'!E12*(-3),0))))))</f>
        <v>0</v>
      </c>
      <c r="M9" s="13"/>
      <c r="N9" s="13" t="e">
        <f>+'Brute allocat°'!P12-'Nette allocat°'!J9-'Nette allocat°'!K9+L9+M9</f>
        <v>#N/A</v>
      </c>
      <c r="O9" s="13" t="e">
        <f>+'Brute allocat°'!P12*17.4%</f>
        <v>#N/A</v>
      </c>
      <c r="P9" s="13" t="e">
        <f>+'Brute allocat°'!P12*4%</f>
        <v>#N/A</v>
      </c>
      <c r="Q9" s="13" t="e">
        <f>+'Brute allocat°'!P12+'Nette allocat°'!O9+'Nette allocat°'!P9</f>
        <v>#N/A</v>
      </c>
      <c r="R9" s="4"/>
      <c r="S9" s="5"/>
      <c r="T9" s="5"/>
      <c r="U9" s="5"/>
      <c r="V9" s="9"/>
    </row>
    <row r="10" spans="1:22" x14ac:dyDescent="0.3">
      <c r="A10" s="15">
        <f>+'Brute allocat°'!A13</f>
        <v>0</v>
      </c>
      <c r="B10" s="13" t="e">
        <f>+VLOOKUP(A10,'Salaire moyen'!$B$5:$O$43,14,FALSE)</f>
        <v>#N/A</v>
      </c>
      <c r="C10" s="13"/>
      <c r="D10" s="16"/>
      <c r="E10" s="13" t="e">
        <f t="shared" si="0"/>
        <v>#N/A</v>
      </c>
      <c r="F10" s="13" t="e">
        <f>+E10/VLOOKUP(A10,'Salaire moyen'!$B$5:$Q$43,16,FALSE)</f>
        <v>#N/A</v>
      </c>
      <c r="G10" s="17" t="e">
        <f t="shared" si="1"/>
        <v>#N/A</v>
      </c>
      <c r="H10" s="13"/>
      <c r="I10" s="13" t="e">
        <f>+'Brute allocat°'!P13</f>
        <v>#N/A</v>
      </c>
      <c r="J10" s="13" t="e">
        <f t="shared" si="6"/>
        <v>#N/A</v>
      </c>
      <c r="K10" s="13" t="e">
        <f>+'Brute allocat°'!P13*3.6%</f>
        <v>#N/A</v>
      </c>
      <c r="L10" s="13">
        <f>+IF(AND('Brute allocat°'!D13=Base!$C$3,'Brute allocat°'!B13=Base!$A$3),('Brute allocat°'!E13/(173.333333333333))*(NETWORKDAYS('Brute allocat°'!G13,'Brute allocat°'!F13)*8),IF(AND('Brute allocat°'!D13=Base!$C$3,'Brute allocat°'!B13=Base!$A$4,'Brute allocat°'!C13=Base!$B$5),'Brute allocat°'!E13,IF(AND('Brute allocat°'!D13=Base!$C$3,'Brute allocat°'!B13=Base!$A$4,'Brute allocat°'!C13=Base!$B$4),'Brute allocat°'!E13*3,IF(AND('Brute allocat°'!D13=Base!$C$5,'Brute allocat°'!B13=Base!$A$3),('Brute allocat°'!E13/(173.333333333333))*NETWORKDAYS('Brute allocat°'!G13,'Brute allocat°'!F13)*(-8),IF(AND('Brute allocat°'!D13=Base!$C$5,'Brute allocat°'!B13=Base!$A$4,'Brute allocat°'!C13=Base!$B$5),'Brute allocat°'!E13*(-1),IF(AND('Brute allocat°'!D13=Base!$C$5,'Brute allocat°'!C13=Base!$B$4),'Brute allocat°'!E13*(-3),0))))))</f>
        <v>0</v>
      </c>
      <c r="M10" s="13"/>
      <c r="N10" s="13" t="e">
        <f>+'Brute allocat°'!P13-'Nette allocat°'!J10-'Nette allocat°'!K10+L10+M10</f>
        <v>#N/A</v>
      </c>
      <c r="O10" s="13" t="e">
        <f>+'Brute allocat°'!P13*17.4%</f>
        <v>#N/A</v>
      </c>
      <c r="P10" s="13" t="e">
        <f>+'Brute allocat°'!P13*4%</f>
        <v>#N/A</v>
      </c>
      <c r="Q10" s="13" t="e">
        <f>+'Brute allocat°'!P13+'Nette allocat°'!O10+'Nette allocat°'!P10</f>
        <v>#N/A</v>
      </c>
      <c r="R10" s="4"/>
      <c r="S10" s="5"/>
      <c r="T10" s="5"/>
      <c r="U10" s="5"/>
      <c r="V10" s="9"/>
    </row>
    <row r="11" spans="1:22" x14ac:dyDescent="0.3">
      <c r="A11" s="15">
        <f>+'Brute allocat°'!A14</f>
        <v>0</v>
      </c>
      <c r="B11" s="13" t="e">
        <f>+VLOOKUP(A11,'Salaire moyen'!$B$5:$O$43,14,FALSE)</f>
        <v>#N/A</v>
      </c>
      <c r="C11" s="13"/>
      <c r="D11" s="16"/>
      <c r="E11" s="13" t="e">
        <f t="shared" si="0"/>
        <v>#N/A</v>
      </c>
      <c r="F11" s="13" t="e">
        <f>+E11/VLOOKUP(A11,'Salaire moyen'!$B$5:$Q$43,16,FALSE)</f>
        <v>#N/A</v>
      </c>
      <c r="G11" s="17" t="e">
        <f t="shared" si="1"/>
        <v>#N/A</v>
      </c>
      <c r="H11" s="13"/>
      <c r="I11" s="13" t="e">
        <f>+'Brute allocat°'!P14</f>
        <v>#N/A</v>
      </c>
      <c r="J11" s="13" t="e">
        <f t="shared" si="6"/>
        <v>#N/A</v>
      </c>
      <c r="K11" s="13" t="e">
        <f>+'Brute allocat°'!P14*3.6%</f>
        <v>#N/A</v>
      </c>
      <c r="L11" s="13">
        <f>+IF(AND('Brute allocat°'!D14=Base!$C$3,'Brute allocat°'!B14=Base!$A$3),('Brute allocat°'!E14/(173.333333333333))*(NETWORKDAYS('Brute allocat°'!G14,'Brute allocat°'!F14)*8),IF(AND('Brute allocat°'!D14=Base!$C$3,'Brute allocat°'!B14=Base!$A$4,'Brute allocat°'!C14=Base!$B$5),'Brute allocat°'!E14,IF(AND('Brute allocat°'!D14=Base!$C$3,'Brute allocat°'!B14=Base!$A$4,'Brute allocat°'!C14=Base!$B$4),'Brute allocat°'!E14*3,IF(AND('Brute allocat°'!D14=Base!$C$5,'Brute allocat°'!B14=Base!$A$3),('Brute allocat°'!E14/(173.333333333333))*NETWORKDAYS('Brute allocat°'!G14,'Brute allocat°'!F14)*(-8),IF(AND('Brute allocat°'!D14=Base!$C$5,'Brute allocat°'!B14=Base!$A$4,'Brute allocat°'!C14=Base!$B$5),'Brute allocat°'!E14*(-1),IF(AND('Brute allocat°'!D14=Base!$C$5,'Brute allocat°'!C14=Base!$B$4),'Brute allocat°'!E14*(-3),0))))))</f>
        <v>0</v>
      </c>
      <c r="M11" s="13"/>
      <c r="N11" s="13" t="e">
        <f>+'Brute allocat°'!P14-'Nette allocat°'!J11-'Nette allocat°'!K11+L11+M11</f>
        <v>#N/A</v>
      </c>
      <c r="O11" s="13" t="e">
        <f>+'Brute allocat°'!P14*17.4%</f>
        <v>#N/A</v>
      </c>
      <c r="P11" s="13" t="e">
        <f>+'Brute allocat°'!P14*4%</f>
        <v>#N/A</v>
      </c>
      <c r="Q11" s="13" t="e">
        <f>+'Brute allocat°'!P14+'Nette allocat°'!O11+'Nette allocat°'!P11</f>
        <v>#N/A</v>
      </c>
      <c r="R11" s="4"/>
      <c r="S11" s="5"/>
      <c r="T11" s="5"/>
      <c r="U11" s="5"/>
      <c r="V11" s="9"/>
    </row>
    <row r="12" spans="1:22" x14ac:dyDescent="0.3">
      <c r="A12" s="15">
        <f>+'Brute allocat°'!A15</f>
        <v>0</v>
      </c>
      <c r="B12" s="13" t="e">
        <f>+VLOOKUP(A12,'Salaire moyen'!$B$5:$O$43,14,FALSE)</f>
        <v>#N/A</v>
      </c>
      <c r="C12" s="13"/>
      <c r="D12" s="16"/>
      <c r="E12" s="13" t="e">
        <f t="shared" si="0"/>
        <v>#N/A</v>
      </c>
      <c r="F12" s="13" t="e">
        <f>+E12/VLOOKUP(A12,'Salaire moyen'!$B$5:$Q$43,16,FALSE)</f>
        <v>#N/A</v>
      </c>
      <c r="G12" s="17" t="e">
        <f t="shared" si="1"/>
        <v>#N/A</v>
      </c>
      <c r="H12" s="13"/>
      <c r="I12" s="13" t="e">
        <f>+'Brute allocat°'!P15</f>
        <v>#N/A</v>
      </c>
      <c r="J12" s="13" t="e">
        <f t="shared" si="6"/>
        <v>#N/A</v>
      </c>
      <c r="K12" s="13" t="e">
        <f>+'Brute allocat°'!P15*3.6%</f>
        <v>#N/A</v>
      </c>
      <c r="L12" s="13">
        <f>+IF(AND('Brute allocat°'!D15=Base!$C$3,'Brute allocat°'!B15=Base!$A$3),('Brute allocat°'!E15/(173.333333333333))*(NETWORKDAYS('Brute allocat°'!G15,'Brute allocat°'!F15)*8),IF(AND('Brute allocat°'!D15=Base!$C$3,'Brute allocat°'!B15=Base!$A$4,'Brute allocat°'!C15=Base!$B$5),'Brute allocat°'!E15,IF(AND('Brute allocat°'!D15=Base!$C$3,'Brute allocat°'!B15=Base!$A$4,'Brute allocat°'!C15=Base!$B$4),'Brute allocat°'!E15*3,IF(AND('Brute allocat°'!D15=Base!$C$5,'Brute allocat°'!B15=Base!$A$3),('Brute allocat°'!E15/(173.333333333333))*NETWORKDAYS('Brute allocat°'!G15,'Brute allocat°'!F15)*(-8),IF(AND('Brute allocat°'!D15=Base!$C$5,'Brute allocat°'!B15=Base!$A$4,'Brute allocat°'!C15=Base!$B$5),'Brute allocat°'!E15*(-1),IF(AND('Brute allocat°'!D15=Base!$C$5,'Brute allocat°'!C15=Base!$B$4),'Brute allocat°'!E15*(-3),0))))))</f>
        <v>0</v>
      </c>
      <c r="M12" s="13"/>
      <c r="N12" s="13" t="e">
        <f>+'Brute allocat°'!P15-'Nette allocat°'!J12-'Nette allocat°'!K12+L12+M12</f>
        <v>#N/A</v>
      </c>
      <c r="O12" s="13" t="e">
        <f>+'Brute allocat°'!P15*17.4%</f>
        <v>#N/A</v>
      </c>
      <c r="P12" s="13" t="e">
        <f>+'Brute allocat°'!P15*4%</f>
        <v>#N/A</v>
      </c>
      <c r="Q12" s="13" t="e">
        <f>+'Brute allocat°'!P15+'Nette allocat°'!O12+'Nette allocat°'!P12</f>
        <v>#N/A</v>
      </c>
      <c r="R12" s="4"/>
      <c r="S12" s="5"/>
      <c r="T12" s="5"/>
      <c r="U12" s="5"/>
      <c r="V12" s="9"/>
    </row>
    <row r="13" spans="1:22" x14ac:dyDescent="0.3">
      <c r="A13" s="15">
        <f>+'Brute allocat°'!A16</f>
        <v>0</v>
      </c>
      <c r="B13" s="13" t="e">
        <f>+VLOOKUP(A13,'Salaire moyen'!$B$5:$O$43,14,FALSE)</f>
        <v>#N/A</v>
      </c>
      <c r="C13" s="13"/>
      <c r="D13" s="16"/>
      <c r="E13" s="13" t="e">
        <f t="shared" si="0"/>
        <v>#N/A</v>
      </c>
      <c r="F13" s="13" t="e">
        <f>+E13/VLOOKUP(A13,'Salaire moyen'!$B$5:$Q$43,16,FALSE)</f>
        <v>#N/A</v>
      </c>
      <c r="G13" s="17" t="e">
        <f t="shared" si="1"/>
        <v>#N/A</v>
      </c>
      <c r="H13" s="13"/>
      <c r="I13" s="13" t="e">
        <f>+'Brute allocat°'!P16</f>
        <v>#N/A</v>
      </c>
      <c r="J13" s="13" t="e">
        <f t="shared" si="6"/>
        <v>#N/A</v>
      </c>
      <c r="K13" s="13" t="e">
        <f>+'Brute allocat°'!P16*3.6%</f>
        <v>#N/A</v>
      </c>
      <c r="L13" s="13">
        <f>+IF(AND('Brute allocat°'!D16=Base!$C$3,'Brute allocat°'!B16=Base!$A$3),('Brute allocat°'!E16/(173.333333333333))*(NETWORKDAYS('Brute allocat°'!G16,'Brute allocat°'!F16)*8),IF(AND('Brute allocat°'!D16=Base!$C$3,'Brute allocat°'!B16=Base!$A$4,'Brute allocat°'!C16=Base!$B$5),'Brute allocat°'!E16,IF(AND('Brute allocat°'!D16=Base!$C$3,'Brute allocat°'!B16=Base!$A$4,'Brute allocat°'!C16=Base!$B$4),'Brute allocat°'!E16*3,IF(AND('Brute allocat°'!D16=Base!$C$5,'Brute allocat°'!B16=Base!$A$3),('Brute allocat°'!E16/(173.333333333333))*NETWORKDAYS('Brute allocat°'!G16,'Brute allocat°'!F16)*(-8),IF(AND('Brute allocat°'!D16=Base!$C$5,'Brute allocat°'!B16=Base!$A$4,'Brute allocat°'!C16=Base!$B$5),'Brute allocat°'!E16*(-1),IF(AND('Brute allocat°'!D16=Base!$C$5,'Brute allocat°'!C16=Base!$B$4),'Brute allocat°'!E16*(-3),0))))))</f>
        <v>0</v>
      </c>
      <c r="M13" s="13"/>
      <c r="N13" s="13" t="e">
        <f>+'Brute allocat°'!P16-'Nette allocat°'!J13-'Nette allocat°'!K13+L13+M13</f>
        <v>#N/A</v>
      </c>
      <c r="O13" s="13" t="e">
        <f>+'Brute allocat°'!P16*17.4%</f>
        <v>#N/A</v>
      </c>
      <c r="P13" s="13" t="e">
        <f>+'Brute allocat°'!P16*4%</f>
        <v>#N/A</v>
      </c>
      <c r="Q13" s="13" t="e">
        <f>+'Brute allocat°'!P16+'Nette allocat°'!O13+'Nette allocat°'!P13</f>
        <v>#N/A</v>
      </c>
      <c r="R13" s="4"/>
      <c r="S13" s="5"/>
      <c r="T13" s="5"/>
      <c r="U13" s="5"/>
      <c r="V13" s="9"/>
    </row>
    <row r="14" spans="1:22" x14ac:dyDescent="0.3">
      <c r="A14" s="15">
        <f>+'Brute allocat°'!A17</f>
        <v>0</v>
      </c>
      <c r="B14" s="13" t="e">
        <f>+VLOOKUP(A14,'Salaire moyen'!$B$5:$O$43,14,FALSE)</f>
        <v>#N/A</v>
      </c>
      <c r="C14" s="13"/>
      <c r="D14" s="16"/>
      <c r="E14" s="13" t="e">
        <f t="shared" si="0"/>
        <v>#N/A</v>
      </c>
      <c r="F14" s="13" t="e">
        <f>+E14/VLOOKUP(A14,'Salaire moyen'!$B$5:$Q$43,16,FALSE)</f>
        <v>#N/A</v>
      </c>
      <c r="G14" s="17" t="e">
        <f t="shared" si="1"/>
        <v>#N/A</v>
      </c>
      <c r="H14" s="13"/>
      <c r="I14" s="13" t="e">
        <f>+'Brute allocat°'!P17</f>
        <v>#N/A</v>
      </c>
      <c r="J14" s="13" t="e">
        <f t="shared" si="6"/>
        <v>#N/A</v>
      </c>
      <c r="K14" s="13" t="e">
        <f>+'Brute allocat°'!P17*3.6%</f>
        <v>#N/A</v>
      </c>
      <c r="L14" s="13">
        <f>+IF(AND('Brute allocat°'!D17=Base!$C$3,'Brute allocat°'!B17=Base!$A$3),('Brute allocat°'!E17/(173.333333333333))*(NETWORKDAYS('Brute allocat°'!G17,'Brute allocat°'!F17)*8),IF(AND('Brute allocat°'!D17=Base!$C$3,'Brute allocat°'!B17=Base!$A$4,'Brute allocat°'!C17=Base!$B$5),'Brute allocat°'!E17,IF(AND('Brute allocat°'!D17=Base!$C$3,'Brute allocat°'!B17=Base!$A$4,'Brute allocat°'!C17=Base!$B$4),'Brute allocat°'!E17*3,IF(AND('Brute allocat°'!D17=Base!$C$5,'Brute allocat°'!B17=Base!$A$3),('Brute allocat°'!E17/(173.333333333333))*NETWORKDAYS('Brute allocat°'!G17,'Brute allocat°'!F17)*(-8),IF(AND('Brute allocat°'!D17=Base!$C$5,'Brute allocat°'!B17=Base!$A$4,'Brute allocat°'!C17=Base!$B$5),'Brute allocat°'!E17*(-1),IF(AND('Brute allocat°'!D17=Base!$C$5,'Brute allocat°'!C17=Base!$B$4),'Brute allocat°'!E17*(-3),0))))))</f>
        <v>0</v>
      </c>
      <c r="M14" s="13"/>
      <c r="N14" s="13" t="e">
        <f>+'Brute allocat°'!P17-'Nette allocat°'!J14-'Nette allocat°'!K14+L14+M14</f>
        <v>#N/A</v>
      </c>
      <c r="O14" s="13" t="e">
        <f>+'Brute allocat°'!P17*17.4%</f>
        <v>#N/A</v>
      </c>
      <c r="P14" s="13" t="e">
        <f>+'Brute allocat°'!P17*4%</f>
        <v>#N/A</v>
      </c>
      <c r="Q14" s="13" t="e">
        <f>+'Brute allocat°'!P17+'Nette allocat°'!O14+'Nette allocat°'!P14</f>
        <v>#N/A</v>
      </c>
      <c r="R14" s="4"/>
      <c r="S14" s="5"/>
      <c r="T14" s="5"/>
      <c r="U14" s="5"/>
      <c r="V14" s="9"/>
    </row>
    <row r="15" spans="1:22" x14ac:dyDescent="0.3">
      <c r="A15" s="15">
        <f>+'Brute allocat°'!A18</f>
        <v>0</v>
      </c>
      <c r="B15" s="13" t="e">
        <f>+VLOOKUP(A15,'Salaire moyen'!$B$5:$O$43,14,FALSE)</f>
        <v>#N/A</v>
      </c>
      <c r="C15" s="13"/>
      <c r="D15" s="16"/>
      <c r="E15" s="13" t="e">
        <f t="shared" si="0"/>
        <v>#N/A</v>
      </c>
      <c r="F15" s="13" t="e">
        <f>+E15/VLOOKUP(A15,'Salaire moyen'!$B$5:$Q$43,16,FALSE)</f>
        <v>#N/A</v>
      </c>
      <c r="G15" s="17" t="e">
        <f t="shared" si="1"/>
        <v>#N/A</v>
      </c>
      <c r="H15" s="13"/>
      <c r="I15" s="13" t="e">
        <f>+'Brute allocat°'!P18</f>
        <v>#N/A</v>
      </c>
      <c r="J15" s="13" t="e">
        <f t="shared" si="6"/>
        <v>#N/A</v>
      </c>
      <c r="K15" s="13" t="e">
        <f>+'Brute allocat°'!P18*3.6%</f>
        <v>#N/A</v>
      </c>
      <c r="L15" s="13">
        <f>+IF(AND('Brute allocat°'!D18=Base!$C$3,'Brute allocat°'!B18=Base!$A$3),('Brute allocat°'!E18/(173.333333333333))*(NETWORKDAYS('Brute allocat°'!G18,'Brute allocat°'!F18)*8),IF(AND('Brute allocat°'!D18=Base!$C$3,'Brute allocat°'!B18=Base!$A$4,'Brute allocat°'!C18=Base!$B$5),'Brute allocat°'!E18,IF(AND('Brute allocat°'!D18=Base!$C$3,'Brute allocat°'!B18=Base!$A$4,'Brute allocat°'!C18=Base!$B$4),'Brute allocat°'!E18*3,IF(AND('Brute allocat°'!D18=Base!$C$5,'Brute allocat°'!B18=Base!$A$3),('Brute allocat°'!E18/(173.333333333333))*NETWORKDAYS('Brute allocat°'!G18,'Brute allocat°'!F18)*(-8),IF(AND('Brute allocat°'!D18=Base!$C$5,'Brute allocat°'!B18=Base!$A$4,'Brute allocat°'!C18=Base!$B$5),'Brute allocat°'!E18*(-1),IF(AND('Brute allocat°'!D18=Base!$C$5,'Brute allocat°'!C18=Base!$B$4),'Brute allocat°'!E18*(-3),0))))))</f>
        <v>0</v>
      </c>
      <c r="M15" s="13"/>
      <c r="N15" s="13" t="e">
        <f>+'Brute allocat°'!P18-'Nette allocat°'!J15-'Nette allocat°'!K15+L15+M15</f>
        <v>#N/A</v>
      </c>
      <c r="O15" s="13" t="e">
        <f>+'Brute allocat°'!P18*17.4%</f>
        <v>#N/A</v>
      </c>
      <c r="P15" s="13" t="e">
        <f>+'Brute allocat°'!P18*4%</f>
        <v>#N/A</v>
      </c>
      <c r="Q15" s="13" t="e">
        <f>+'Brute allocat°'!P18+'Nette allocat°'!O15+'Nette allocat°'!P15</f>
        <v>#N/A</v>
      </c>
      <c r="R15" s="4"/>
      <c r="S15" s="5"/>
      <c r="T15" s="5"/>
      <c r="U15" s="5"/>
      <c r="V15" s="9"/>
    </row>
    <row r="16" spans="1:22" x14ac:dyDescent="0.3">
      <c r="A16" s="15">
        <f>+'Brute allocat°'!A19</f>
        <v>0</v>
      </c>
      <c r="B16" s="13" t="e">
        <f>+VLOOKUP(A16,'Salaire moyen'!$B$5:$O$43,14,FALSE)</f>
        <v>#N/A</v>
      </c>
      <c r="C16" s="13"/>
      <c r="D16" s="16"/>
      <c r="E16" s="13" t="e">
        <f t="shared" si="0"/>
        <v>#N/A</v>
      </c>
      <c r="F16" s="13" t="e">
        <f>+E16/VLOOKUP(A16,'Salaire moyen'!$B$5:$Q$43,16,FALSE)</f>
        <v>#N/A</v>
      </c>
      <c r="G16" s="17" t="e">
        <f t="shared" si="1"/>
        <v>#N/A</v>
      </c>
      <c r="H16" s="13"/>
      <c r="I16" s="13" t="e">
        <f>+'Brute allocat°'!P19</f>
        <v>#N/A</v>
      </c>
      <c r="J16" s="13" t="e">
        <f t="shared" si="6"/>
        <v>#N/A</v>
      </c>
      <c r="K16" s="13" t="e">
        <f>+'Brute allocat°'!P19*3.6%</f>
        <v>#N/A</v>
      </c>
      <c r="L16" s="13">
        <f>+IF(AND('Brute allocat°'!D19=Base!$C$3,'Brute allocat°'!B19=Base!$A$3),('Brute allocat°'!E19/(173.333333333333))*(NETWORKDAYS('Brute allocat°'!G19,'Brute allocat°'!F19)*8),IF(AND('Brute allocat°'!D19=Base!$C$3,'Brute allocat°'!B19=Base!$A$4,'Brute allocat°'!C19=Base!$B$5),'Brute allocat°'!E19,IF(AND('Brute allocat°'!D19=Base!$C$3,'Brute allocat°'!B19=Base!$A$4,'Brute allocat°'!C19=Base!$B$4),'Brute allocat°'!E19*3,IF(AND('Brute allocat°'!D19=Base!$C$5,'Brute allocat°'!B19=Base!$A$3),('Brute allocat°'!E19/(173.333333333333))*NETWORKDAYS('Brute allocat°'!G19,'Brute allocat°'!F19)*(-8),IF(AND('Brute allocat°'!D19=Base!$C$5,'Brute allocat°'!B19=Base!$A$4,'Brute allocat°'!C19=Base!$B$5),'Brute allocat°'!E19*(-1),IF(AND('Brute allocat°'!D19=Base!$C$5,'Brute allocat°'!C19=Base!$B$4),'Brute allocat°'!E19*(-3),0))))))</f>
        <v>0</v>
      </c>
      <c r="M16" s="13"/>
      <c r="N16" s="13" t="e">
        <f>+'Brute allocat°'!P19-'Nette allocat°'!J16-'Nette allocat°'!K16+L16+M16</f>
        <v>#N/A</v>
      </c>
      <c r="O16" s="13" t="e">
        <f>+'Brute allocat°'!P19*17.4%</f>
        <v>#N/A</v>
      </c>
      <c r="P16" s="13" t="e">
        <f>+'Brute allocat°'!P19*4%</f>
        <v>#N/A</v>
      </c>
      <c r="Q16" s="13" t="e">
        <f>+'Brute allocat°'!P19+'Nette allocat°'!O16+'Nette allocat°'!P16</f>
        <v>#N/A</v>
      </c>
      <c r="R16" s="4"/>
      <c r="S16" s="5"/>
      <c r="T16" s="5"/>
      <c r="U16" s="5"/>
      <c r="V16" s="9"/>
    </row>
    <row r="17" spans="1:22" x14ac:dyDescent="0.3">
      <c r="A17" s="15">
        <f>+'Brute allocat°'!A20</f>
        <v>0</v>
      </c>
      <c r="B17" s="13" t="e">
        <f>+VLOOKUP(A17,'Salaire moyen'!$B$5:$O$43,14,FALSE)</f>
        <v>#N/A</v>
      </c>
      <c r="C17" s="13"/>
      <c r="D17" s="16"/>
      <c r="E17" s="13" t="e">
        <f t="shared" si="0"/>
        <v>#N/A</v>
      </c>
      <c r="F17" s="13" t="e">
        <f>+E17/VLOOKUP(A17,'Salaire moyen'!$B$5:$Q$43,16,FALSE)</f>
        <v>#N/A</v>
      </c>
      <c r="G17" s="17" t="e">
        <f t="shared" si="1"/>
        <v>#N/A</v>
      </c>
      <c r="H17" s="13"/>
      <c r="I17" s="13" t="e">
        <f>+'Brute allocat°'!P20</f>
        <v>#N/A</v>
      </c>
      <c r="J17" s="13" t="e">
        <f t="shared" si="6"/>
        <v>#N/A</v>
      </c>
      <c r="K17" s="13" t="e">
        <f>+'Brute allocat°'!P20*3.6%</f>
        <v>#N/A</v>
      </c>
      <c r="L17" s="13">
        <f>+IF(AND('Brute allocat°'!D20=Base!$C$3,'Brute allocat°'!B20=Base!$A$3),('Brute allocat°'!E20/(173.333333333333))*(NETWORKDAYS('Brute allocat°'!G20,'Brute allocat°'!F20)*8),IF(AND('Brute allocat°'!D20=Base!$C$3,'Brute allocat°'!B20=Base!$A$4,'Brute allocat°'!C20=Base!$B$5),'Brute allocat°'!E20,IF(AND('Brute allocat°'!D20=Base!$C$3,'Brute allocat°'!B20=Base!$A$4,'Brute allocat°'!C20=Base!$B$4),'Brute allocat°'!E20*3,IF(AND('Brute allocat°'!D20=Base!$C$5,'Brute allocat°'!B20=Base!$A$3),('Brute allocat°'!E20/(173.333333333333))*NETWORKDAYS('Brute allocat°'!G20,'Brute allocat°'!F20)*(-8),IF(AND('Brute allocat°'!D20=Base!$C$5,'Brute allocat°'!B20=Base!$A$4,'Brute allocat°'!C20=Base!$B$5),'Brute allocat°'!E20*(-1),IF(AND('Brute allocat°'!D20=Base!$C$5,'Brute allocat°'!C20=Base!$B$4),'Brute allocat°'!E20*(-3),0))))))</f>
        <v>0</v>
      </c>
      <c r="M17" s="13"/>
      <c r="N17" s="13" t="e">
        <f>+'Brute allocat°'!P20-'Nette allocat°'!J17-'Nette allocat°'!K17+L17+M17</f>
        <v>#N/A</v>
      </c>
      <c r="O17" s="13" t="e">
        <f>+'Brute allocat°'!P20*17.4%</f>
        <v>#N/A</v>
      </c>
      <c r="P17" s="13" t="e">
        <f>+'Brute allocat°'!P20*4%</f>
        <v>#N/A</v>
      </c>
      <c r="Q17" s="13" t="e">
        <f>+'Brute allocat°'!P20+'Nette allocat°'!O17+'Nette allocat°'!P17</f>
        <v>#N/A</v>
      </c>
      <c r="R17" s="4"/>
      <c r="S17" s="5"/>
      <c r="T17" s="5"/>
      <c r="U17" s="5"/>
      <c r="V17" s="9"/>
    </row>
    <row r="18" spans="1:22" x14ac:dyDescent="0.3">
      <c r="A18" s="15">
        <f>+'Brute allocat°'!A21</f>
        <v>0</v>
      </c>
      <c r="B18" s="13" t="e">
        <f>+VLOOKUP(A18,'Salaire moyen'!$B$5:$O$43,14,FALSE)</f>
        <v>#N/A</v>
      </c>
      <c r="C18" s="13"/>
      <c r="D18" s="16"/>
      <c r="E18" s="13" t="e">
        <f t="shared" si="0"/>
        <v>#N/A</v>
      </c>
      <c r="F18" s="13" t="e">
        <f>+E18/VLOOKUP(A18,'Salaire moyen'!$B$5:$Q$43,16,FALSE)</f>
        <v>#N/A</v>
      </c>
      <c r="G18" s="17" t="e">
        <f t="shared" si="1"/>
        <v>#N/A</v>
      </c>
      <c r="H18" s="13"/>
      <c r="I18" s="13" t="e">
        <f>+'Brute allocat°'!P21</f>
        <v>#N/A</v>
      </c>
      <c r="J18" s="13" t="e">
        <f t="shared" si="6"/>
        <v>#N/A</v>
      </c>
      <c r="K18" s="13" t="e">
        <f>+'Brute allocat°'!P21*3.6%</f>
        <v>#N/A</v>
      </c>
      <c r="L18" s="13">
        <f>+IF(AND('Brute allocat°'!D21=Base!$C$3,'Brute allocat°'!B21=Base!$A$3),('Brute allocat°'!E21/(173.333333333333))*(NETWORKDAYS('Brute allocat°'!G21,'Brute allocat°'!F21)*8),IF(AND('Brute allocat°'!D21=Base!$C$3,'Brute allocat°'!B21=Base!$A$4,'Brute allocat°'!C21=Base!$B$5),'Brute allocat°'!E21,IF(AND('Brute allocat°'!D21=Base!$C$3,'Brute allocat°'!B21=Base!$A$4,'Brute allocat°'!C21=Base!$B$4),'Brute allocat°'!E21*3,IF(AND('Brute allocat°'!D21=Base!$C$5,'Brute allocat°'!B21=Base!$A$3),('Brute allocat°'!E21/(173.333333333333))*NETWORKDAYS('Brute allocat°'!G21,'Brute allocat°'!F21)*(-8),IF(AND('Brute allocat°'!D21=Base!$C$5,'Brute allocat°'!B21=Base!$A$4,'Brute allocat°'!C21=Base!$B$5),'Brute allocat°'!E21*(-1),IF(AND('Brute allocat°'!D21=Base!$C$5,'Brute allocat°'!C21=Base!$B$4),'Brute allocat°'!E21*(-3),0))))))</f>
        <v>0</v>
      </c>
      <c r="M18" s="13"/>
      <c r="N18" s="13" t="e">
        <f>+'Brute allocat°'!P21-'Nette allocat°'!J18-'Nette allocat°'!K18+L18+M18</f>
        <v>#N/A</v>
      </c>
      <c r="O18" s="13" t="e">
        <f>+'Brute allocat°'!P21*17.4%</f>
        <v>#N/A</v>
      </c>
      <c r="P18" s="13" t="e">
        <f>+'Brute allocat°'!P21*4%</f>
        <v>#N/A</v>
      </c>
      <c r="Q18" s="13" t="e">
        <f>+'Brute allocat°'!P21+'Nette allocat°'!O18+'Nette allocat°'!P18</f>
        <v>#N/A</v>
      </c>
      <c r="R18" s="4"/>
      <c r="S18" s="5"/>
      <c r="T18" s="5"/>
      <c r="U18" s="5"/>
      <c r="V18" s="9"/>
    </row>
    <row r="19" spans="1:22" x14ac:dyDescent="0.3">
      <c r="A19" s="15">
        <f>+'Brute allocat°'!A22</f>
        <v>0</v>
      </c>
      <c r="B19" s="13" t="e">
        <f>+VLOOKUP(A19,'Salaire moyen'!$B$5:$O$43,14,FALSE)</f>
        <v>#N/A</v>
      </c>
      <c r="C19" s="13"/>
      <c r="D19" s="16"/>
      <c r="E19" s="13" t="e">
        <f t="shared" si="0"/>
        <v>#N/A</v>
      </c>
      <c r="F19" s="13" t="e">
        <f>+E19/VLOOKUP(A19,'Salaire moyen'!$B$5:$Q$43,16,FALSE)</f>
        <v>#N/A</v>
      </c>
      <c r="G19" s="17" t="e">
        <f t="shared" si="1"/>
        <v>#N/A</v>
      </c>
      <c r="H19" s="13"/>
      <c r="I19" s="13" t="e">
        <f>+'Brute allocat°'!P22</f>
        <v>#N/A</v>
      </c>
      <c r="J19" s="13" t="e">
        <f t="shared" si="6"/>
        <v>#N/A</v>
      </c>
      <c r="K19" s="13" t="e">
        <f>+'Brute allocat°'!P22*3.6%</f>
        <v>#N/A</v>
      </c>
      <c r="L19" s="13">
        <f>+IF(AND('Brute allocat°'!D22=Base!$C$3,'Brute allocat°'!B22=Base!$A$3),('Brute allocat°'!E22/(173.333333333333))*(NETWORKDAYS('Brute allocat°'!G22,'Brute allocat°'!F22)*8),IF(AND('Brute allocat°'!D22=Base!$C$3,'Brute allocat°'!B22=Base!$A$4,'Brute allocat°'!C22=Base!$B$5),'Brute allocat°'!E22,IF(AND('Brute allocat°'!D22=Base!$C$3,'Brute allocat°'!B22=Base!$A$4,'Brute allocat°'!C22=Base!$B$4),'Brute allocat°'!E22*3,IF(AND('Brute allocat°'!D22=Base!$C$5,'Brute allocat°'!B22=Base!$A$3),('Brute allocat°'!E22/(173.333333333333))*NETWORKDAYS('Brute allocat°'!G22,'Brute allocat°'!F22)*(-8),IF(AND('Brute allocat°'!D22=Base!$C$5,'Brute allocat°'!B22=Base!$A$4,'Brute allocat°'!C22=Base!$B$5),'Brute allocat°'!E22*(-1),IF(AND('Brute allocat°'!D22=Base!$C$5,'Brute allocat°'!C22=Base!$B$4),'Brute allocat°'!E22*(-3),0))))))</f>
        <v>0</v>
      </c>
      <c r="M19" s="13"/>
      <c r="N19" s="13" t="e">
        <f>+'Brute allocat°'!P22-'Nette allocat°'!J19-'Nette allocat°'!K19+L19+M19</f>
        <v>#N/A</v>
      </c>
      <c r="O19" s="13" t="e">
        <f>+'Brute allocat°'!P22*17.4%</f>
        <v>#N/A</v>
      </c>
      <c r="P19" s="13" t="e">
        <f>+'Brute allocat°'!P22*4%</f>
        <v>#N/A</v>
      </c>
      <c r="Q19" s="13" t="e">
        <f>+'Brute allocat°'!P22+'Nette allocat°'!O19+'Nette allocat°'!P19</f>
        <v>#N/A</v>
      </c>
      <c r="R19" s="4"/>
      <c r="S19" s="5"/>
      <c r="T19" s="5"/>
      <c r="U19" s="5"/>
      <c r="V19" s="9"/>
    </row>
    <row r="20" spans="1:22" x14ac:dyDescent="0.3">
      <c r="A20" s="15">
        <f>+'Brute allocat°'!A23</f>
        <v>0</v>
      </c>
      <c r="B20" s="13" t="e">
        <f>+VLOOKUP(A20,'Salaire moyen'!$B$5:$O$43,14,FALSE)</f>
        <v>#N/A</v>
      </c>
      <c r="C20" s="13"/>
      <c r="D20" s="16"/>
      <c r="E20" s="13" t="e">
        <f t="shared" si="0"/>
        <v>#N/A</v>
      </c>
      <c r="F20" s="13" t="e">
        <f>+E20/VLOOKUP(A20,'Salaire moyen'!$B$5:$Q$43,16,FALSE)</f>
        <v>#N/A</v>
      </c>
      <c r="G20" s="17" t="e">
        <f t="shared" si="1"/>
        <v>#N/A</v>
      </c>
      <c r="H20" s="13"/>
      <c r="I20" s="13" t="e">
        <f>+'Brute allocat°'!P23</f>
        <v>#N/A</v>
      </c>
      <c r="J20" s="13" t="e">
        <f t="shared" si="6"/>
        <v>#N/A</v>
      </c>
      <c r="K20" s="13" t="e">
        <f>+'Brute allocat°'!P23*3.6%</f>
        <v>#N/A</v>
      </c>
      <c r="L20" s="13">
        <f>+IF(AND('Brute allocat°'!D23=Base!$C$3,'Brute allocat°'!B23=Base!$A$3),('Brute allocat°'!E23/(173.333333333333))*(NETWORKDAYS('Brute allocat°'!G23,'Brute allocat°'!F23)*8),IF(AND('Brute allocat°'!D23=Base!$C$3,'Brute allocat°'!B23=Base!$A$4,'Brute allocat°'!C23=Base!$B$5),'Brute allocat°'!E23,IF(AND('Brute allocat°'!D23=Base!$C$3,'Brute allocat°'!B23=Base!$A$4,'Brute allocat°'!C23=Base!$B$4),'Brute allocat°'!E23*3,IF(AND('Brute allocat°'!D23=Base!$C$5,'Brute allocat°'!B23=Base!$A$3),('Brute allocat°'!E23/(173.333333333333))*NETWORKDAYS('Brute allocat°'!G23,'Brute allocat°'!F23)*(-8),IF(AND('Brute allocat°'!D23=Base!$C$5,'Brute allocat°'!B23=Base!$A$4,'Brute allocat°'!C23=Base!$B$5),'Brute allocat°'!E23*(-1),IF(AND('Brute allocat°'!D23=Base!$C$5,'Brute allocat°'!C23=Base!$B$4),'Brute allocat°'!E23*(-3),0))))))</f>
        <v>0</v>
      </c>
      <c r="M20" s="13"/>
      <c r="N20" s="13" t="e">
        <f>+'Brute allocat°'!P23-'Nette allocat°'!J20-'Nette allocat°'!K20+L20+M20</f>
        <v>#N/A</v>
      </c>
      <c r="O20" s="13" t="e">
        <f>+'Brute allocat°'!P23*17.4%</f>
        <v>#N/A</v>
      </c>
      <c r="P20" s="13" t="e">
        <f>+'Brute allocat°'!P23*4%</f>
        <v>#N/A</v>
      </c>
      <c r="Q20" s="13" t="e">
        <f>+'Brute allocat°'!P23+'Nette allocat°'!O20+'Nette allocat°'!P20</f>
        <v>#N/A</v>
      </c>
      <c r="R20" s="4"/>
      <c r="S20" s="5"/>
      <c r="T20" s="5"/>
      <c r="U20" s="5"/>
      <c r="V20" s="9"/>
    </row>
    <row r="21" spans="1:22" x14ac:dyDescent="0.3">
      <c r="A21" s="15">
        <f>+'Brute allocat°'!A24</f>
        <v>0</v>
      </c>
      <c r="B21" s="13" t="e">
        <f>+VLOOKUP(A21,'Salaire moyen'!$B$5:$O$43,14,FALSE)</f>
        <v>#N/A</v>
      </c>
      <c r="C21" s="13"/>
      <c r="D21" s="16"/>
      <c r="E21" s="13" t="e">
        <f t="shared" si="0"/>
        <v>#N/A</v>
      </c>
      <c r="F21" s="13" t="e">
        <f>+E21/VLOOKUP(A21,'Salaire moyen'!$B$5:$Q$43,16,FALSE)</f>
        <v>#N/A</v>
      </c>
      <c r="G21" s="17" t="e">
        <f t="shared" si="1"/>
        <v>#N/A</v>
      </c>
      <c r="H21" s="13"/>
      <c r="I21" s="13" t="e">
        <f>+'Brute allocat°'!P24</f>
        <v>#N/A</v>
      </c>
      <c r="J21" s="13" t="e">
        <f t="shared" si="6"/>
        <v>#N/A</v>
      </c>
      <c r="K21" s="13" t="e">
        <f>+'Brute allocat°'!P24*3.6%</f>
        <v>#N/A</v>
      </c>
      <c r="L21" s="13">
        <f>+IF(AND('Brute allocat°'!D24=Base!$C$3,'Brute allocat°'!B24=Base!$A$3),('Brute allocat°'!E24/(173.333333333333))*(NETWORKDAYS('Brute allocat°'!G24,'Brute allocat°'!F24)*8),IF(AND('Brute allocat°'!D24=Base!$C$3,'Brute allocat°'!B24=Base!$A$4,'Brute allocat°'!C24=Base!$B$5),'Brute allocat°'!E24,IF(AND('Brute allocat°'!D24=Base!$C$3,'Brute allocat°'!B24=Base!$A$4,'Brute allocat°'!C24=Base!$B$4),'Brute allocat°'!E24*3,IF(AND('Brute allocat°'!D24=Base!$C$5,'Brute allocat°'!B24=Base!$A$3),('Brute allocat°'!E24/(173.333333333333))*NETWORKDAYS('Brute allocat°'!G24,'Brute allocat°'!F24)*(-8),IF(AND('Brute allocat°'!D24=Base!$C$5,'Brute allocat°'!B24=Base!$A$4,'Brute allocat°'!C24=Base!$B$5),'Brute allocat°'!E24*(-1),IF(AND('Brute allocat°'!D24=Base!$C$5,'Brute allocat°'!C24=Base!$B$4),'Brute allocat°'!E24*(-3),0))))))</f>
        <v>0</v>
      </c>
      <c r="M21" s="13"/>
      <c r="N21" s="13" t="e">
        <f>+'Brute allocat°'!P24-'Nette allocat°'!J21-'Nette allocat°'!K21+L21+M21</f>
        <v>#N/A</v>
      </c>
      <c r="O21" s="13" t="e">
        <f>+'Brute allocat°'!P24*17.4%</f>
        <v>#N/A</v>
      </c>
      <c r="P21" s="13" t="e">
        <f>+'Brute allocat°'!P24*4%</f>
        <v>#N/A</v>
      </c>
      <c r="Q21" s="13" t="e">
        <f>+'Brute allocat°'!P24+'Nette allocat°'!O21+'Nette allocat°'!P21</f>
        <v>#N/A</v>
      </c>
      <c r="R21" s="4"/>
      <c r="S21" s="5"/>
      <c r="T21" s="5"/>
      <c r="U21" s="5"/>
      <c r="V21" s="9"/>
    </row>
    <row r="22" spans="1:22" x14ac:dyDescent="0.3">
      <c r="A22" s="15">
        <f>+'Brute allocat°'!A25</f>
        <v>0</v>
      </c>
      <c r="B22" s="13" t="e">
        <f>+VLOOKUP(A22,'Salaire moyen'!$B$5:$O$43,14,FALSE)</f>
        <v>#N/A</v>
      </c>
      <c r="C22" s="13"/>
      <c r="D22" s="16"/>
      <c r="E22" s="13" t="e">
        <f t="shared" si="0"/>
        <v>#N/A</v>
      </c>
      <c r="F22" s="13" t="e">
        <f>+E22/VLOOKUP(A22,'Salaire moyen'!$B$5:$Q$43,16,FALSE)</f>
        <v>#N/A</v>
      </c>
      <c r="G22" s="17" t="e">
        <f t="shared" si="1"/>
        <v>#N/A</v>
      </c>
      <c r="H22" s="13"/>
      <c r="I22" s="13" t="e">
        <f>+'Brute allocat°'!P25</f>
        <v>#N/A</v>
      </c>
      <c r="J22" s="13" t="e">
        <f t="shared" si="6"/>
        <v>#N/A</v>
      </c>
      <c r="K22" s="13" t="e">
        <f>+'Brute allocat°'!P25*3.6%</f>
        <v>#N/A</v>
      </c>
      <c r="L22" s="13">
        <f>+IF(AND('Brute allocat°'!D25=Base!$C$3,'Brute allocat°'!B25=Base!$A$3),('Brute allocat°'!E25/(173.333333333333))*(NETWORKDAYS('Brute allocat°'!G25,'Brute allocat°'!F25)*8),IF(AND('Brute allocat°'!D25=Base!$C$3,'Brute allocat°'!B25=Base!$A$4,'Brute allocat°'!C25=Base!$B$5),'Brute allocat°'!E25,IF(AND('Brute allocat°'!D25=Base!$C$3,'Brute allocat°'!B25=Base!$A$4,'Brute allocat°'!C25=Base!$B$4),'Brute allocat°'!E25*3,IF(AND('Brute allocat°'!D25=Base!$C$5,'Brute allocat°'!B25=Base!$A$3),('Brute allocat°'!E25/(173.333333333333))*NETWORKDAYS('Brute allocat°'!G25,'Brute allocat°'!F25)*(-8),IF(AND('Brute allocat°'!D25=Base!$C$5,'Brute allocat°'!B25=Base!$A$4,'Brute allocat°'!C25=Base!$B$5),'Brute allocat°'!E25*(-1),IF(AND('Brute allocat°'!D25=Base!$C$5,'Brute allocat°'!C25=Base!$B$4),'Brute allocat°'!E25*(-3),0))))))</f>
        <v>0</v>
      </c>
      <c r="M22" s="13"/>
      <c r="N22" s="13" t="e">
        <f>+'Brute allocat°'!P25-'Nette allocat°'!J22-'Nette allocat°'!K22+L22+M22</f>
        <v>#N/A</v>
      </c>
      <c r="O22" s="13" t="e">
        <f>+'Brute allocat°'!P25*17.4%</f>
        <v>#N/A</v>
      </c>
      <c r="P22" s="13" t="e">
        <f>+'Brute allocat°'!P25*4%</f>
        <v>#N/A</v>
      </c>
      <c r="Q22" s="13" t="e">
        <f>+'Brute allocat°'!P25+'Nette allocat°'!O22+'Nette allocat°'!P22</f>
        <v>#N/A</v>
      </c>
      <c r="R22" s="4"/>
      <c r="S22" s="5"/>
      <c r="T22" s="5"/>
      <c r="U22" s="5"/>
      <c r="V22" s="9"/>
    </row>
    <row r="23" spans="1:22" x14ac:dyDescent="0.3">
      <c r="A23" s="15">
        <f>+'Brute allocat°'!A26</f>
        <v>0</v>
      </c>
      <c r="B23" s="13" t="e">
        <f>+VLOOKUP(A23,'Salaire moyen'!$B$5:$O$43,14,FALSE)</f>
        <v>#N/A</v>
      </c>
      <c r="C23" s="13"/>
      <c r="D23" s="16"/>
      <c r="E23" s="13" t="e">
        <f t="shared" si="0"/>
        <v>#N/A</v>
      </c>
      <c r="F23" s="13" t="e">
        <f>+E23/VLOOKUP(A23,'Salaire moyen'!$B$5:$Q$43,16,FALSE)</f>
        <v>#N/A</v>
      </c>
      <c r="G23" s="17" t="e">
        <f t="shared" si="1"/>
        <v>#N/A</v>
      </c>
      <c r="H23" s="13"/>
      <c r="I23" s="13" t="e">
        <f>+'Brute allocat°'!P26</f>
        <v>#N/A</v>
      </c>
      <c r="J23" s="13" t="e">
        <f t="shared" si="6"/>
        <v>#N/A</v>
      </c>
      <c r="K23" s="13" t="e">
        <f>+'Brute allocat°'!P26*3.6%</f>
        <v>#N/A</v>
      </c>
      <c r="L23" s="13">
        <f>+IF(AND('Brute allocat°'!D26=Base!$C$3,'Brute allocat°'!B26=Base!$A$3),('Brute allocat°'!E26/(173.333333333333))*(NETWORKDAYS('Brute allocat°'!G26,'Brute allocat°'!F26)*8),IF(AND('Brute allocat°'!D26=Base!$C$3,'Brute allocat°'!B26=Base!$A$4,'Brute allocat°'!C26=Base!$B$5),'Brute allocat°'!E26,IF(AND('Brute allocat°'!D26=Base!$C$3,'Brute allocat°'!B26=Base!$A$4,'Brute allocat°'!C26=Base!$B$4),'Brute allocat°'!E26*3,IF(AND('Brute allocat°'!D26=Base!$C$5,'Brute allocat°'!B26=Base!$A$3),('Brute allocat°'!E26/(173.333333333333))*NETWORKDAYS('Brute allocat°'!G26,'Brute allocat°'!F26)*(-8),IF(AND('Brute allocat°'!D26=Base!$C$5,'Brute allocat°'!B26=Base!$A$4,'Brute allocat°'!C26=Base!$B$5),'Brute allocat°'!E26*(-1),IF(AND('Brute allocat°'!D26=Base!$C$5,'Brute allocat°'!C26=Base!$B$4),'Brute allocat°'!E26*(-3),0))))))</f>
        <v>0</v>
      </c>
      <c r="M23" s="13"/>
      <c r="N23" s="13" t="e">
        <f>+'Brute allocat°'!P26-'Nette allocat°'!J23-'Nette allocat°'!K23+L23+M23</f>
        <v>#N/A</v>
      </c>
      <c r="O23" s="13" t="e">
        <f>+'Brute allocat°'!P26*17.4%</f>
        <v>#N/A</v>
      </c>
      <c r="P23" s="13" t="e">
        <f>+'Brute allocat°'!P26*4%</f>
        <v>#N/A</v>
      </c>
      <c r="Q23" s="13" t="e">
        <f>+'Brute allocat°'!P26+'Nette allocat°'!O23+'Nette allocat°'!P23</f>
        <v>#N/A</v>
      </c>
      <c r="R23" s="4"/>
      <c r="S23" s="5"/>
      <c r="T23" s="5"/>
      <c r="U23" s="5"/>
      <c r="V23" s="9"/>
    </row>
    <row r="24" spans="1:22" x14ac:dyDescent="0.3">
      <c r="A24" s="15">
        <f>+'Brute allocat°'!A27</f>
        <v>0</v>
      </c>
      <c r="B24" s="13" t="e">
        <f>+VLOOKUP(A24,'Salaire moyen'!$B$5:$O$43,14,FALSE)</f>
        <v>#N/A</v>
      </c>
      <c r="C24" s="13"/>
      <c r="D24" s="16"/>
      <c r="E24" s="13" t="e">
        <f t="shared" si="0"/>
        <v>#N/A</v>
      </c>
      <c r="F24" s="13" t="e">
        <f>+E24/VLOOKUP(A24,'Salaire moyen'!$B$5:$Q$43,16,FALSE)</f>
        <v>#N/A</v>
      </c>
      <c r="G24" s="17" t="e">
        <f t="shared" si="1"/>
        <v>#N/A</v>
      </c>
      <c r="H24" s="13"/>
      <c r="I24" s="13" t="e">
        <f>+'Brute allocat°'!P27</f>
        <v>#N/A</v>
      </c>
      <c r="J24" s="13" t="e">
        <f t="shared" si="6"/>
        <v>#N/A</v>
      </c>
      <c r="K24" s="13" t="e">
        <f>+'Brute allocat°'!P27*3.6%</f>
        <v>#N/A</v>
      </c>
      <c r="L24" s="13">
        <f>+IF(AND('Brute allocat°'!D27=Base!$C$3,'Brute allocat°'!B27=Base!$A$3),('Brute allocat°'!E27/(173.333333333333))*(NETWORKDAYS('Brute allocat°'!G27,'Brute allocat°'!F27)*8),IF(AND('Brute allocat°'!D27=Base!$C$3,'Brute allocat°'!B27=Base!$A$4,'Brute allocat°'!C27=Base!$B$5),'Brute allocat°'!E27,IF(AND('Brute allocat°'!D27=Base!$C$3,'Brute allocat°'!B27=Base!$A$4,'Brute allocat°'!C27=Base!$B$4),'Brute allocat°'!E27*3,IF(AND('Brute allocat°'!D27=Base!$C$5,'Brute allocat°'!B27=Base!$A$3),('Brute allocat°'!E27/(173.333333333333))*NETWORKDAYS('Brute allocat°'!G27,'Brute allocat°'!F27)*(-8),IF(AND('Brute allocat°'!D27=Base!$C$5,'Brute allocat°'!B27=Base!$A$4,'Brute allocat°'!C27=Base!$B$5),'Brute allocat°'!E27*(-1),IF(AND('Brute allocat°'!D27=Base!$C$5,'Brute allocat°'!C27=Base!$B$4),'Brute allocat°'!E27*(-3),0))))))</f>
        <v>0</v>
      </c>
      <c r="M24" s="13"/>
      <c r="N24" s="13" t="e">
        <f>+'Brute allocat°'!P27-'Nette allocat°'!J24-'Nette allocat°'!K24+L24+M24</f>
        <v>#N/A</v>
      </c>
      <c r="O24" s="13" t="e">
        <f>+'Brute allocat°'!P27*17.4%</f>
        <v>#N/A</v>
      </c>
      <c r="P24" s="13" t="e">
        <f>+'Brute allocat°'!P27*4%</f>
        <v>#N/A</v>
      </c>
      <c r="Q24" s="13" t="e">
        <f>+'Brute allocat°'!P27+'Nette allocat°'!O24+'Nette allocat°'!P24</f>
        <v>#N/A</v>
      </c>
      <c r="R24" s="4"/>
      <c r="S24" s="5"/>
      <c r="T24" s="5"/>
      <c r="U24" s="5"/>
      <c r="V24" s="9"/>
    </row>
    <row r="25" spans="1:22" x14ac:dyDescent="0.3">
      <c r="A25" s="15">
        <f>+'Brute allocat°'!A28</f>
        <v>0</v>
      </c>
      <c r="B25" s="13" t="e">
        <f>+VLOOKUP(A25,'Salaire moyen'!$B$5:$O$43,14,FALSE)</f>
        <v>#N/A</v>
      </c>
      <c r="C25" s="13"/>
      <c r="D25" s="16"/>
      <c r="E25" s="13" t="e">
        <f t="shared" si="0"/>
        <v>#N/A</v>
      </c>
      <c r="F25" s="13" t="e">
        <f>+E25/VLOOKUP(A25,'Salaire moyen'!$B$5:$Q$43,16,FALSE)</f>
        <v>#N/A</v>
      </c>
      <c r="G25" s="17" t="e">
        <f t="shared" si="1"/>
        <v>#N/A</v>
      </c>
      <c r="H25" s="13"/>
      <c r="I25" s="13" t="e">
        <f>+'Brute allocat°'!P28</f>
        <v>#N/A</v>
      </c>
      <c r="J25" s="13" t="e">
        <f t="shared" si="6"/>
        <v>#N/A</v>
      </c>
      <c r="K25" s="13" t="e">
        <f>+'Brute allocat°'!P28*3.6%</f>
        <v>#N/A</v>
      </c>
      <c r="L25" s="13">
        <f>+IF(AND('Brute allocat°'!D28=Base!$C$3,'Brute allocat°'!B28=Base!$A$3),('Brute allocat°'!E28/(173.333333333333))*(NETWORKDAYS('Brute allocat°'!G28,'Brute allocat°'!F28)*8),IF(AND('Brute allocat°'!D28=Base!$C$3,'Brute allocat°'!B28=Base!$A$4,'Brute allocat°'!C28=Base!$B$5),'Brute allocat°'!E28,IF(AND('Brute allocat°'!D28=Base!$C$3,'Brute allocat°'!B28=Base!$A$4,'Brute allocat°'!C28=Base!$B$4),'Brute allocat°'!E28*3,IF(AND('Brute allocat°'!D28=Base!$C$5,'Brute allocat°'!B28=Base!$A$3),('Brute allocat°'!E28/(173.333333333333))*NETWORKDAYS('Brute allocat°'!G28,'Brute allocat°'!F28)*(-8),IF(AND('Brute allocat°'!D28=Base!$C$5,'Brute allocat°'!B28=Base!$A$4,'Brute allocat°'!C28=Base!$B$5),'Brute allocat°'!E28*(-1),IF(AND('Brute allocat°'!D28=Base!$C$5,'Brute allocat°'!C28=Base!$B$4),'Brute allocat°'!E28*(-3),0))))))</f>
        <v>0</v>
      </c>
      <c r="M25" s="13"/>
      <c r="N25" s="13" t="e">
        <f>+'Brute allocat°'!P28-'Nette allocat°'!J25-'Nette allocat°'!K25+L25+M25</f>
        <v>#N/A</v>
      </c>
      <c r="O25" s="13" t="e">
        <f>+'Brute allocat°'!P28*17.4%</f>
        <v>#N/A</v>
      </c>
      <c r="P25" s="13" t="e">
        <f>+'Brute allocat°'!P28*4%</f>
        <v>#N/A</v>
      </c>
      <c r="Q25" s="13" t="e">
        <f>+'Brute allocat°'!P28+'Nette allocat°'!O25+'Nette allocat°'!P25</f>
        <v>#N/A</v>
      </c>
      <c r="R25" s="4"/>
      <c r="S25" s="5"/>
      <c r="T25" s="5"/>
      <c r="U25" s="5"/>
      <c r="V25" s="9"/>
    </row>
    <row r="26" spans="1:22" x14ac:dyDescent="0.3">
      <c r="A26" s="15">
        <f>+'Brute allocat°'!A29</f>
        <v>0</v>
      </c>
      <c r="B26" s="13" t="e">
        <f>+VLOOKUP(A26,'Salaire moyen'!$B$5:$O$43,14,FALSE)</f>
        <v>#N/A</v>
      </c>
      <c r="C26" s="13"/>
      <c r="D26" s="16"/>
      <c r="E26" s="13" t="e">
        <f t="shared" si="0"/>
        <v>#N/A</v>
      </c>
      <c r="F26" s="13" t="e">
        <f>+E26/VLOOKUP(A26,'Salaire moyen'!$B$5:$Q$43,16,FALSE)</f>
        <v>#N/A</v>
      </c>
      <c r="G26" s="17" t="e">
        <f t="shared" si="1"/>
        <v>#N/A</v>
      </c>
      <c r="H26" s="13"/>
      <c r="I26" s="13" t="e">
        <f>+'Brute allocat°'!P29</f>
        <v>#N/A</v>
      </c>
      <c r="J26" s="13" t="e">
        <f t="shared" si="6"/>
        <v>#N/A</v>
      </c>
      <c r="K26" s="13" t="e">
        <f>+'Brute allocat°'!P29*3.6%</f>
        <v>#N/A</v>
      </c>
      <c r="L26" s="13">
        <f>+IF(AND('Brute allocat°'!D29=Base!$C$3,'Brute allocat°'!B29=Base!$A$3),('Brute allocat°'!E29/(173.333333333333))*(NETWORKDAYS('Brute allocat°'!G29,'Brute allocat°'!F29)*8),IF(AND('Brute allocat°'!D29=Base!$C$3,'Brute allocat°'!B29=Base!$A$4,'Brute allocat°'!C29=Base!$B$5),'Brute allocat°'!E29,IF(AND('Brute allocat°'!D29=Base!$C$3,'Brute allocat°'!B29=Base!$A$4,'Brute allocat°'!C29=Base!$B$4),'Brute allocat°'!E29*3,IF(AND('Brute allocat°'!D29=Base!$C$5,'Brute allocat°'!B29=Base!$A$3),('Brute allocat°'!E29/(173.333333333333))*NETWORKDAYS('Brute allocat°'!G29,'Brute allocat°'!F29)*(-8),IF(AND('Brute allocat°'!D29=Base!$C$5,'Brute allocat°'!B29=Base!$A$4,'Brute allocat°'!C29=Base!$B$5),'Brute allocat°'!E29*(-1),IF(AND('Brute allocat°'!D29=Base!$C$5,'Brute allocat°'!C29=Base!$B$4),'Brute allocat°'!E29*(-3),0))))))</f>
        <v>0</v>
      </c>
      <c r="M26" s="13"/>
      <c r="N26" s="13" t="e">
        <f>+'Brute allocat°'!P29-'Nette allocat°'!J26-'Nette allocat°'!K26+L26+M26</f>
        <v>#N/A</v>
      </c>
      <c r="O26" s="13" t="e">
        <f>+'Brute allocat°'!P29*17.4%</f>
        <v>#N/A</v>
      </c>
      <c r="P26" s="13" t="e">
        <f>+'Brute allocat°'!P29*4%</f>
        <v>#N/A</v>
      </c>
      <c r="Q26" s="13" t="e">
        <f>+'Brute allocat°'!P29+'Nette allocat°'!O26+'Nette allocat°'!P26</f>
        <v>#N/A</v>
      </c>
      <c r="R26" s="4"/>
      <c r="S26" s="5"/>
      <c r="T26" s="5"/>
      <c r="U26" s="5"/>
      <c r="V26" s="9"/>
    </row>
    <row r="27" spans="1:22" x14ac:dyDescent="0.3">
      <c r="A27" s="15">
        <f>+'Brute allocat°'!A30</f>
        <v>0</v>
      </c>
      <c r="B27" s="13" t="e">
        <f>+VLOOKUP(A27,'Salaire moyen'!$B$5:$O$43,14,FALSE)</f>
        <v>#N/A</v>
      </c>
      <c r="C27" s="13"/>
      <c r="D27" s="16"/>
      <c r="E27" s="13" t="e">
        <f t="shared" si="0"/>
        <v>#N/A</v>
      </c>
      <c r="F27" s="13" t="e">
        <f>+E27/VLOOKUP(A27,'Salaire moyen'!$B$5:$Q$43,16,FALSE)</f>
        <v>#N/A</v>
      </c>
      <c r="G27" s="17" t="e">
        <f t="shared" si="1"/>
        <v>#N/A</v>
      </c>
      <c r="H27" s="13"/>
      <c r="I27" s="13" t="e">
        <f>+'Brute allocat°'!P30</f>
        <v>#N/A</v>
      </c>
      <c r="J27" s="13" t="e">
        <f t="shared" si="6"/>
        <v>#N/A</v>
      </c>
      <c r="K27" s="13" t="e">
        <f>+'Brute allocat°'!P30*3.6%</f>
        <v>#N/A</v>
      </c>
      <c r="L27" s="13">
        <f>+IF(AND('Brute allocat°'!D30=Base!$C$3,'Brute allocat°'!B30=Base!$A$3),('Brute allocat°'!E30/(173.333333333333))*(NETWORKDAYS('Brute allocat°'!G30,'Brute allocat°'!F30)*8),IF(AND('Brute allocat°'!D30=Base!$C$3,'Brute allocat°'!B30=Base!$A$4,'Brute allocat°'!C30=Base!$B$5),'Brute allocat°'!E30,IF(AND('Brute allocat°'!D30=Base!$C$3,'Brute allocat°'!B30=Base!$A$4,'Brute allocat°'!C30=Base!$B$4),'Brute allocat°'!E30*3,IF(AND('Brute allocat°'!D30=Base!$C$5,'Brute allocat°'!B30=Base!$A$3),('Brute allocat°'!E30/(173.333333333333))*NETWORKDAYS('Brute allocat°'!G30,'Brute allocat°'!F30)*(-8),IF(AND('Brute allocat°'!D30=Base!$C$5,'Brute allocat°'!B30=Base!$A$4,'Brute allocat°'!C30=Base!$B$5),'Brute allocat°'!E30*(-1),IF(AND('Brute allocat°'!D30=Base!$C$5,'Brute allocat°'!C30=Base!$B$4),'Brute allocat°'!E30*(-3),0))))))</f>
        <v>0</v>
      </c>
      <c r="M27" s="13"/>
      <c r="N27" s="13" t="e">
        <f>+'Brute allocat°'!P30-'Nette allocat°'!J27-'Nette allocat°'!K27+L27+M27</f>
        <v>#N/A</v>
      </c>
      <c r="O27" s="13" t="e">
        <f>+'Brute allocat°'!P30*17.4%</f>
        <v>#N/A</v>
      </c>
      <c r="P27" s="13" t="e">
        <f>+'Brute allocat°'!P30*4%</f>
        <v>#N/A</v>
      </c>
      <c r="Q27" s="13" t="e">
        <f>+'Brute allocat°'!P30+'Nette allocat°'!O27+'Nette allocat°'!P27</f>
        <v>#N/A</v>
      </c>
      <c r="R27" s="4"/>
      <c r="S27" s="5"/>
      <c r="T27" s="5"/>
      <c r="U27" s="5"/>
      <c r="V27" s="9"/>
    </row>
    <row r="28" spans="1:22" x14ac:dyDescent="0.3">
      <c r="A28" s="15">
        <f>+'Brute allocat°'!A31</f>
        <v>0</v>
      </c>
      <c r="B28" s="13" t="e">
        <f>+VLOOKUP(A28,'Salaire moyen'!$B$5:$O$43,14,FALSE)</f>
        <v>#N/A</v>
      </c>
      <c r="C28" s="13"/>
      <c r="D28" s="16"/>
      <c r="E28" s="13" t="e">
        <f t="shared" si="0"/>
        <v>#N/A</v>
      </c>
      <c r="F28" s="13" t="e">
        <f>+E28/VLOOKUP(A28,'Salaire moyen'!$B$5:$Q$43,16,FALSE)</f>
        <v>#N/A</v>
      </c>
      <c r="G28" s="17" t="e">
        <f t="shared" si="1"/>
        <v>#N/A</v>
      </c>
      <c r="H28" s="13"/>
      <c r="I28" s="13" t="e">
        <f>+'Brute allocat°'!P31</f>
        <v>#N/A</v>
      </c>
      <c r="J28" s="13" t="e">
        <f t="shared" si="6"/>
        <v>#N/A</v>
      </c>
      <c r="K28" s="13" t="e">
        <f>+'Brute allocat°'!P31*3.6%</f>
        <v>#N/A</v>
      </c>
      <c r="L28" s="13">
        <f>+IF(AND('Brute allocat°'!D31=Base!$C$3,'Brute allocat°'!B31=Base!$A$3),('Brute allocat°'!E31/(173.333333333333))*(NETWORKDAYS('Brute allocat°'!G31,'Brute allocat°'!F31)*8),IF(AND('Brute allocat°'!D31=Base!$C$3,'Brute allocat°'!B31=Base!$A$4,'Brute allocat°'!C31=Base!$B$5),'Brute allocat°'!E31,IF(AND('Brute allocat°'!D31=Base!$C$3,'Brute allocat°'!B31=Base!$A$4,'Brute allocat°'!C31=Base!$B$4),'Brute allocat°'!E31*3,IF(AND('Brute allocat°'!D31=Base!$C$5,'Brute allocat°'!B31=Base!$A$3),('Brute allocat°'!E31/(173.333333333333))*NETWORKDAYS('Brute allocat°'!G31,'Brute allocat°'!F31)*(-8),IF(AND('Brute allocat°'!D31=Base!$C$5,'Brute allocat°'!B31=Base!$A$4,'Brute allocat°'!C31=Base!$B$5),'Brute allocat°'!E31*(-1),IF(AND('Brute allocat°'!D31=Base!$C$5,'Brute allocat°'!C31=Base!$B$4),'Brute allocat°'!E31*(-3),0))))))</f>
        <v>0</v>
      </c>
      <c r="M28" s="13"/>
      <c r="N28" s="13" t="e">
        <f>+'Brute allocat°'!P31-'Nette allocat°'!J28-'Nette allocat°'!K28+L28+M28</f>
        <v>#N/A</v>
      </c>
      <c r="O28" s="13" t="e">
        <f>+'Brute allocat°'!P31*17.4%</f>
        <v>#N/A</v>
      </c>
      <c r="P28" s="13" t="e">
        <f>+'Brute allocat°'!P31*4%</f>
        <v>#N/A</v>
      </c>
      <c r="Q28" s="13" t="e">
        <f>+'Brute allocat°'!P31+'Nette allocat°'!O28+'Nette allocat°'!P28</f>
        <v>#N/A</v>
      </c>
      <c r="R28" s="4"/>
      <c r="S28" s="5"/>
      <c r="T28" s="5"/>
      <c r="U28" s="5"/>
      <c r="V28" s="9"/>
    </row>
    <row r="29" spans="1:22" x14ac:dyDescent="0.3">
      <c r="A29" s="15">
        <f>+'Brute allocat°'!A32</f>
        <v>0</v>
      </c>
      <c r="B29" s="13" t="e">
        <f>+VLOOKUP(A29,'Salaire moyen'!$B$5:$O$43,14,FALSE)</f>
        <v>#N/A</v>
      </c>
      <c r="C29" s="13"/>
      <c r="D29" s="16"/>
      <c r="E29" s="13" t="e">
        <f t="shared" si="0"/>
        <v>#N/A</v>
      </c>
      <c r="F29" s="13" t="e">
        <f>+E29/VLOOKUP(A29,'Salaire moyen'!$B$5:$Q$43,16,FALSE)</f>
        <v>#N/A</v>
      </c>
      <c r="G29" s="17" t="e">
        <f t="shared" si="1"/>
        <v>#N/A</v>
      </c>
      <c r="H29" s="13"/>
      <c r="I29" s="13" t="e">
        <f>+'Brute allocat°'!P32</f>
        <v>#N/A</v>
      </c>
      <c r="J29" s="13" t="e">
        <f t="shared" si="6"/>
        <v>#N/A</v>
      </c>
      <c r="K29" s="13" t="e">
        <f>+'Brute allocat°'!P32*3.6%</f>
        <v>#N/A</v>
      </c>
      <c r="L29" s="13">
        <f>+IF(AND('Brute allocat°'!D32=Base!$C$3,'Brute allocat°'!B32=Base!$A$3),('Brute allocat°'!E32/(173.333333333333))*(NETWORKDAYS('Brute allocat°'!G32,'Brute allocat°'!F32)*8),IF(AND('Brute allocat°'!D32=Base!$C$3,'Brute allocat°'!B32=Base!$A$4,'Brute allocat°'!C32=Base!$B$5),'Brute allocat°'!E32,IF(AND('Brute allocat°'!D32=Base!$C$3,'Brute allocat°'!B32=Base!$A$4,'Brute allocat°'!C32=Base!$B$4),'Brute allocat°'!E32*3,IF(AND('Brute allocat°'!D32=Base!$C$5,'Brute allocat°'!B32=Base!$A$3),('Brute allocat°'!E32/(173.333333333333))*NETWORKDAYS('Brute allocat°'!G32,'Brute allocat°'!F32)*(-8),IF(AND('Brute allocat°'!D32=Base!$C$5,'Brute allocat°'!B32=Base!$A$4,'Brute allocat°'!C32=Base!$B$5),'Brute allocat°'!E32*(-1),IF(AND('Brute allocat°'!D32=Base!$C$5,'Brute allocat°'!C32=Base!$B$4),'Brute allocat°'!E32*(-3),0))))))</f>
        <v>0</v>
      </c>
      <c r="M29" s="13"/>
      <c r="N29" s="13" t="e">
        <f>+'Brute allocat°'!P32-'Nette allocat°'!J29-'Nette allocat°'!K29+L29+M29</f>
        <v>#N/A</v>
      </c>
      <c r="O29" s="13" t="e">
        <f>+'Brute allocat°'!P32*17.4%</f>
        <v>#N/A</v>
      </c>
      <c r="P29" s="13" t="e">
        <f>+'Brute allocat°'!P32*4%</f>
        <v>#N/A</v>
      </c>
      <c r="Q29" s="13" t="e">
        <f>+'Brute allocat°'!P32+'Nette allocat°'!O29+'Nette allocat°'!P29</f>
        <v>#N/A</v>
      </c>
      <c r="R29" s="4"/>
      <c r="S29" s="5"/>
      <c r="T29" s="5"/>
      <c r="U29" s="5"/>
      <c r="V29" s="9"/>
    </row>
    <row r="30" spans="1:22" x14ac:dyDescent="0.3">
      <c r="A30" s="15" t="e">
        <f>+'Brute allocat°'!#REF!</f>
        <v>#REF!</v>
      </c>
      <c r="B30" s="13" t="e">
        <f>+VLOOKUP(A30,'Salaire moyen'!$B$5:$O$43,14,FALSE)</f>
        <v>#REF!</v>
      </c>
      <c r="C30" s="13"/>
      <c r="D30" s="16"/>
      <c r="E30" s="13" t="e">
        <f t="shared" si="0"/>
        <v>#REF!</v>
      </c>
      <c r="F30" s="13" t="e">
        <f>+E30/VLOOKUP(A30,'Salaire moyen'!$B$5:$Q$43,16,FALSE)</f>
        <v>#REF!</v>
      </c>
      <c r="G30" s="17" t="e">
        <f t="shared" si="1"/>
        <v>#REF!</v>
      </c>
      <c r="H30" s="13"/>
      <c r="I30" s="13" t="e">
        <f>+'Brute allocat°'!#REF!</f>
        <v>#REF!</v>
      </c>
      <c r="J30" s="13" t="e">
        <f t="shared" si="6"/>
        <v>#REF!</v>
      </c>
      <c r="K30" s="13" t="e">
        <f>+'Brute allocat°'!#REF!*3.6%</f>
        <v>#REF!</v>
      </c>
      <c r="L30" s="13" t="e">
        <f>+IF(AND('Brute allocat°'!#REF!=Base!$C$3,'Brute allocat°'!#REF!=Base!$A$3),('Brute allocat°'!#REF!/(173.333333333333))*(NETWORKDAYS('Brute allocat°'!#REF!,'Brute allocat°'!#REF!)*8),IF(AND('Brute allocat°'!#REF!=Base!$C$3,'Brute allocat°'!#REF!=Base!$A$4,'Brute allocat°'!#REF!=Base!$B$5),'Brute allocat°'!#REF!,IF(AND('Brute allocat°'!#REF!=Base!$C$3,'Brute allocat°'!#REF!=Base!$A$4,'Brute allocat°'!#REF!=Base!$B$4),'Brute allocat°'!#REF!*3,IF(AND('Brute allocat°'!#REF!=Base!$C$5,'Brute allocat°'!#REF!=Base!$A$3),('Brute allocat°'!#REF!/(173.333333333333))*NETWORKDAYS('Brute allocat°'!#REF!,'Brute allocat°'!#REF!)*(-8),IF(AND('Brute allocat°'!#REF!=Base!$C$5,'Brute allocat°'!#REF!=Base!$A$4,'Brute allocat°'!#REF!=Base!$B$5),'Brute allocat°'!#REF!*(-1),IF(AND('Brute allocat°'!#REF!=Base!$C$5,'Brute allocat°'!#REF!=Base!$B$4),'Brute allocat°'!#REF!*(-3),0))))))</f>
        <v>#REF!</v>
      </c>
      <c r="M30" s="13"/>
      <c r="N30" s="13" t="e">
        <f>+'Brute allocat°'!#REF!-'Nette allocat°'!J30-'Nette allocat°'!K30+L30+M30</f>
        <v>#REF!</v>
      </c>
      <c r="O30" s="13" t="e">
        <f>+'Brute allocat°'!#REF!*17.4%</f>
        <v>#REF!</v>
      </c>
      <c r="P30" s="13" t="e">
        <f>+'Brute allocat°'!#REF!*4%</f>
        <v>#REF!</v>
      </c>
      <c r="Q30" s="13" t="e">
        <f>+'Brute allocat°'!#REF!+'Nette allocat°'!O30+'Nette allocat°'!P30</f>
        <v>#REF!</v>
      </c>
      <c r="R30" s="4"/>
      <c r="S30" s="5"/>
      <c r="T30" s="5"/>
      <c r="U30" s="5"/>
      <c r="V30" s="9"/>
    </row>
    <row r="31" spans="1:22" x14ac:dyDescent="0.3">
      <c r="A31" s="15">
        <f>+'Brute allocat°'!A33</f>
        <v>0</v>
      </c>
      <c r="B31" s="13" t="e">
        <f>+VLOOKUP(A31,'Salaire moyen'!$B$5:$O$43,14,FALSE)</f>
        <v>#N/A</v>
      </c>
      <c r="C31" s="13"/>
      <c r="D31" s="16"/>
      <c r="E31" s="13" t="e">
        <f t="shared" si="0"/>
        <v>#N/A</v>
      </c>
      <c r="F31" s="13" t="e">
        <f>+E31/VLOOKUP(A31,'Salaire moyen'!$B$5:$Q$43,16,FALSE)</f>
        <v>#N/A</v>
      </c>
      <c r="G31" s="17" t="e">
        <f t="shared" si="1"/>
        <v>#N/A</v>
      </c>
      <c r="H31" s="13"/>
      <c r="I31" s="13" t="e">
        <f>+'Brute allocat°'!P33</f>
        <v>#N/A</v>
      </c>
      <c r="J31" s="13" t="e">
        <f t="shared" si="6"/>
        <v>#N/A</v>
      </c>
      <c r="K31" s="13" t="e">
        <f>+'Brute allocat°'!P33*3.6%</f>
        <v>#N/A</v>
      </c>
      <c r="L31" s="13">
        <f>+IF(AND('Brute allocat°'!D33=Base!$C$3,'Brute allocat°'!B33=Base!$A$3),('Brute allocat°'!E33/(173.333333333333))*(NETWORKDAYS('Brute allocat°'!G33,'Brute allocat°'!F33)*8),IF(AND('Brute allocat°'!D33=Base!$C$3,'Brute allocat°'!B33=Base!$A$4,'Brute allocat°'!C33=Base!$B$5),'Brute allocat°'!E33,IF(AND('Brute allocat°'!D33=Base!$C$3,'Brute allocat°'!B33=Base!$A$4,'Brute allocat°'!C33=Base!$B$4),'Brute allocat°'!E33*3,IF(AND('Brute allocat°'!D33=Base!$C$5,'Brute allocat°'!B33=Base!$A$3),('Brute allocat°'!E33/(173.333333333333))*NETWORKDAYS('Brute allocat°'!G33,'Brute allocat°'!F33)*(-8),IF(AND('Brute allocat°'!D33=Base!$C$5,'Brute allocat°'!B33=Base!$A$4,'Brute allocat°'!C33=Base!$B$5),'Brute allocat°'!E33*(-1),IF(AND('Brute allocat°'!D33=Base!$C$5,'Brute allocat°'!C33=Base!$B$4),'Brute allocat°'!E33*(-3),0))))))</f>
        <v>0</v>
      </c>
      <c r="M31" s="13"/>
      <c r="N31" s="13" t="e">
        <f>+'Brute allocat°'!P33-'Nette allocat°'!J31-'Nette allocat°'!K31+L31+M31</f>
        <v>#N/A</v>
      </c>
      <c r="O31" s="13" t="e">
        <f>+'Brute allocat°'!P33*17.4%</f>
        <v>#N/A</v>
      </c>
      <c r="P31" s="13" t="e">
        <f>+'Brute allocat°'!P33*4%</f>
        <v>#N/A</v>
      </c>
      <c r="Q31" s="13" t="e">
        <f>+'Brute allocat°'!P33+'Nette allocat°'!O31+'Nette allocat°'!P31</f>
        <v>#N/A</v>
      </c>
      <c r="R31" s="4"/>
      <c r="S31" s="5"/>
      <c r="T31" s="5"/>
      <c r="U31" s="5"/>
      <c r="V31" s="9"/>
    </row>
    <row r="32" spans="1:22" x14ac:dyDescent="0.3">
      <c r="A32" s="15">
        <f>+'Brute allocat°'!A34</f>
        <v>0</v>
      </c>
      <c r="B32" s="13" t="e">
        <f>+VLOOKUP(A32,'Salaire moyen'!$B$5:$O$43,14,FALSE)</f>
        <v>#N/A</v>
      </c>
      <c r="C32" s="13"/>
      <c r="D32" s="16"/>
      <c r="E32" s="13" t="e">
        <f t="shared" si="0"/>
        <v>#N/A</v>
      </c>
      <c r="F32" s="13" t="e">
        <f>+E32/VLOOKUP(A32,'Salaire moyen'!$B$5:$Q$43,16,FALSE)</f>
        <v>#N/A</v>
      </c>
      <c r="G32" s="17" t="e">
        <f t="shared" si="1"/>
        <v>#N/A</v>
      </c>
      <c r="H32" s="13"/>
      <c r="I32" s="13" t="e">
        <f>+'Brute allocat°'!P34</f>
        <v>#N/A</v>
      </c>
      <c r="J32" s="13" t="e">
        <f t="shared" si="6"/>
        <v>#N/A</v>
      </c>
      <c r="K32" s="13" t="e">
        <f>+'Brute allocat°'!P34*3.6%</f>
        <v>#N/A</v>
      </c>
      <c r="L32" s="13">
        <f>+IF(AND('Brute allocat°'!D34=Base!$C$3,'Brute allocat°'!B34=Base!$A$3),('Brute allocat°'!E34/(173.333333333333))*(NETWORKDAYS('Brute allocat°'!G34,'Brute allocat°'!F34)*8),IF(AND('Brute allocat°'!D34=Base!$C$3,'Brute allocat°'!B34=Base!$A$4,'Brute allocat°'!C34=Base!$B$5),'Brute allocat°'!E34,IF(AND('Brute allocat°'!D34=Base!$C$3,'Brute allocat°'!B34=Base!$A$4,'Brute allocat°'!C34=Base!$B$4),'Brute allocat°'!E34*3,IF(AND('Brute allocat°'!D34=Base!$C$5,'Brute allocat°'!B34=Base!$A$3),('Brute allocat°'!E34/(173.333333333333))*NETWORKDAYS('Brute allocat°'!G34,'Brute allocat°'!F34)*(-8),IF(AND('Brute allocat°'!D34=Base!$C$5,'Brute allocat°'!B34=Base!$A$4,'Brute allocat°'!C34=Base!$B$5),'Brute allocat°'!E34*(-1),IF(AND('Brute allocat°'!D34=Base!$C$5,'Brute allocat°'!C34=Base!$B$4),'Brute allocat°'!E34*(-3),0))))))</f>
        <v>0</v>
      </c>
      <c r="M32" s="13"/>
      <c r="N32" s="13" t="e">
        <f>+'Brute allocat°'!P34-'Nette allocat°'!J32-'Nette allocat°'!K32+L32+M32</f>
        <v>#N/A</v>
      </c>
      <c r="O32" s="13" t="e">
        <f>+'Brute allocat°'!P34*17.4%</f>
        <v>#N/A</v>
      </c>
      <c r="P32" s="13" t="e">
        <f>+'Brute allocat°'!P34*4%</f>
        <v>#N/A</v>
      </c>
      <c r="Q32" s="13" t="e">
        <f>+'Brute allocat°'!P34+'Nette allocat°'!O32+'Nette allocat°'!P32</f>
        <v>#N/A</v>
      </c>
      <c r="R32" s="4"/>
      <c r="S32" s="5"/>
      <c r="T32" s="5"/>
      <c r="U32" s="5"/>
      <c r="V32" s="9"/>
    </row>
    <row r="33" spans="1:22" x14ac:dyDescent="0.3">
      <c r="A33" s="15">
        <f>+'Brute allocat°'!A35</f>
        <v>0</v>
      </c>
      <c r="B33" s="13" t="e">
        <f>+VLOOKUP(A33,'Salaire moyen'!$B$5:$O$43,14,FALSE)</f>
        <v>#N/A</v>
      </c>
      <c r="C33" s="13"/>
      <c r="D33" s="16"/>
      <c r="E33" s="13" t="e">
        <f t="shared" si="0"/>
        <v>#N/A</v>
      </c>
      <c r="F33" s="13" t="e">
        <f>+E33/VLOOKUP(A33,'Salaire moyen'!$B$5:$Q$43,16,FALSE)</f>
        <v>#N/A</v>
      </c>
      <c r="G33" s="17" t="e">
        <f t="shared" si="1"/>
        <v>#N/A</v>
      </c>
      <c r="H33" s="13"/>
      <c r="I33" s="13" t="e">
        <f>+'Brute allocat°'!P35</f>
        <v>#N/A</v>
      </c>
      <c r="J33" s="13" t="e">
        <f t="shared" si="6"/>
        <v>#N/A</v>
      </c>
      <c r="K33" s="13" t="e">
        <f>+'Brute allocat°'!P35*3.6%</f>
        <v>#N/A</v>
      </c>
      <c r="L33" s="13">
        <f>+IF(AND('Brute allocat°'!D35=Base!$C$3,'Brute allocat°'!B35=Base!$A$3),('Brute allocat°'!E35/(173.333333333333))*(NETWORKDAYS('Brute allocat°'!G35,'Brute allocat°'!F35)*8),IF(AND('Brute allocat°'!D35=Base!$C$3,'Brute allocat°'!B35=Base!$A$4,'Brute allocat°'!C35=Base!$B$5),'Brute allocat°'!E35,IF(AND('Brute allocat°'!D35=Base!$C$3,'Brute allocat°'!B35=Base!$A$4,'Brute allocat°'!C35=Base!$B$4),'Brute allocat°'!E35*3,IF(AND('Brute allocat°'!D35=Base!$C$5,'Brute allocat°'!B35=Base!$A$3),('Brute allocat°'!E35/(173.333333333333))*NETWORKDAYS('Brute allocat°'!G35,'Brute allocat°'!F35)*(-8),IF(AND('Brute allocat°'!D35=Base!$C$5,'Brute allocat°'!B35=Base!$A$4,'Brute allocat°'!C35=Base!$B$5),'Brute allocat°'!E35*(-1),IF(AND('Brute allocat°'!D35=Base!$C$5,'Brute allocat°'!C35=Base!$B$4),'Brute allocat°'!E35*(-3),0))))))</f>
        <v>0</v>
      </c>
      <c r="M33" s="13"/>
      <c r="N33" s="13" t="e">
        <f>+'Brute allocat°'!P35-'Nette allocat°'!J33-'Nette allocat°'!K33+L33+M33</f>
        <v>#N/A</v>
      </c>
      <c r="O33" s="13" t="e">
        <f>+'Brute allocat°'!P35*17.4%</f>
        <v>#N/A</v>
      </c>
      <c r="P33" s="13" t="e">
        <f>+'Brute allocat°'!P35*4%</f>
        <v>#N/A</v>
      </c>
      <c r="Q33" s="13" t="e">
        <f>+'Brute allocat°'!P35+'Nette allocat°'!O33+'Nette allocat°'!P33</f>
        <v>#N/A</v>
      </c>
      <c r="R33" s="4"/>
      <c r="S33" s="5"/>
      <c r="T33" s="5"/>
      <c r="U33" s="5"/>
      <c r="V33" s="9"/>
    </row>
    <row r="34" spans="1:22" x14ac:dyDescent="0.3">
      <c r="A34" s="15">
        <f>+'Brute allocat°'!A36</f>
        <v>0</v>
      </c>
      <c r="B34" s="13" t="e">
        <f>+VLOOKUP(A34,'Salaire moyen'!$B$5:$O$43,14,FALSE)</f>
        <v>#N/A</v>
      </c>
      <c r="C34" s="13"/>
      <c r="D34" s="16"/>
      <c r="E34" s="13" t="e">
        <f t="shared" si="0"/>
        <v>#N/A</v>
      </c>
      <c r="F34" s="13" t="e">
        <f>+E34/VLOOKUP(A34,'Salaire moyen'!$B$5:$Q$43,16,FALSE)</f>
        <v>#N/A</v>
      </c>
      <c r="G34" s="17" t="e">
        <f t="shared" si="1"/>
        <v>#N/A</v>
      </c>
      <c r="H34" s="13"/>
      <c r="I34" s="13" t="e">
        <f>+'Brute allocat°'!P36</f>
        <v>#N/A</v>
      </c>
      <c r="J34" s="13" t="e">
        <f t="shared" si="6"/>
        <v>#N/A</v>
      </c>
      <c r="K34" s="13" t="e">
        <f>+'Brute allocat°'!P36*3.6%</f>
        <v>#N/A</v>
      </c>
      <c r="L34" s="13">
        <f>+IF(AND('Brute allocat°'!D36=Base!$C$3,'Brute allocat°'!B36=Base!$A$3),('Brute allocat°'!E36/(173.333333333333))*(NETWORKDAYS('Brute allocat°'!G36,'Brute allocat°'!F36)*8),IF(AND('Brute allocat°'!D36=Base!$C$3,'Brute allocat°'!B36=Base!$A$4,'Brute allocat°'!C36=Base!$B$5),'Brute allocat°'!E36,IF(AND('Brute allocat°'!D36=Base!$C$3,'Brute allocat°'!B36=Base!$A$4,'Brute allocat°'!C36=Base!$B$4),'Brute allocat°'!E36*3,IF(AND('Brute allocat°'!D36=Base!$C$5,'Brute allocat°'!B36=Base!$A$3),('Brute allocat°'!E36/(173.333333333333))*NETWORKDAYS('Brute allocat°'!G36,'Brute allocat°'!F36)*(-8),IF(AND('Brute allocat°'!D36=Base!$C$5,'Brute allocat°'!B36=Base!$A$4,'Brute allocat°'!C36=Base!$B$5),'Brute allocat°'!E36*(-1),IF(AND('Brute allocat°'!D36=Base!$C$5,'Brute allocat°'!C36=Base!$B$4),'Brute allocat°'!E36*(-3),0))))))</f>
        <v>0</v>
      </c>
      <c r="M34" s="13"/>
      <c r="N34" s="13" t="e">
        <f>+'Brute allocat°'!P36-'Nette allocat°'!J34-'Nette allocat°'!K34+L34+M34</f>
        <v>#N/A</v>
      </c>
      <c r="O34" s="13" t="e">
        <f>+'Brute allocat°'!P36*17.4%</f>
        <v>#N/A</v>
      </c>
      <c r="P34" s="13" t="e">
        <f>+'Brute allocat°'!P36*4%</f>
        <v>#N/A</v>
      </c>
      <c r="Q34" s="13" t="e">
        <f>+'Brute allocat°'!P36+'Nette allocat°'!O34+'Nette allocat°'!P34</f>
        <v>#N/A</v>
      </c>
      <c r="R34" s="4"/>
      <c r="S34" s="5"/>
      <c r="T34" s="5"/>
      <c r="U34" s="5"/>
      <c r="V34" s="9"/>
    </row>
    <row r="35" spans="1:22" x14ac:dyDescent="0.3">
      <c r="A35" s="15">
        <f>+'Brute allocat°'!A37</f>
        <v>0</v>
      </c>
      <c r="B35" s="13" t="e">
        <f>+VLOOKUP(A35,'Salaire moyen'!$B$5:$O$43,14,FALSE)</f>
        <v>#N/A</v>
      </c>
      <c r="C35" s="13"/>
      <c r="D35" s="16"/>
      <c r="E35" s="13" t="e">
        <f t="shared" si="0"/>
        <v>#N/A</v>
      </c>
      <c r="F35" s="13" t="e">
        <f>+E35/VLOOKUP(A35,'Salaire moyen'!$B$5:$Q$43,16,FALSE)</f>
        <v>#N/A</v>
      </c>
      <c r="G35" s="17" t="e">
        <f t="shared" si="1"/>
        <v>#N/A</v>
      </c>
      <c r="H35" s="13"/>
      <c r="I35" s="13" t="e">
        <f>+'Brute allocat°'!P37</f>
        <v>#N/A</v>
      </c>
      <c r="J35" s="13" t="e">
        <f t="shared" si="6"/>
        <v>#N/A</v>
      </c>
      <c r="K35" s="13" t="e">
        <f>+'Brute allocat°'!P37*3.6%</f>
        <v>#N/A</v>
      </c>
      <c r="L35" s="13">
        <f>+IF(AND('Brute allocat°'!D37=Base!$C$3,'Brute allocat°'!B37=Base!$A$3),('Brute allocat°'!E37/(173.333333333333))*(NETWORKDAYS('Brute allocat°'!G37,'Brute allocat°'!F37)*8),IF(AND('Brute allocat°'!D37=Base!$C$3,'Brute allocat°'!B37=Base!$A$4,'Brute allocat°'!C37=Base!$B$5),'Brute allocat°'!E37,IF(AND('Brute allocat°'!D37=Base!$C$3,'Brute allocat°'!B37=Base!$A$4,'Brute allocat°'!C37=Base!$B$4),'Brute allocat°'!E37*3,IF(AND('Brute allocat°'!D37=Base!$C$5,'Brute allocat°'!B37=Base!$A$3),('Brute allocat°'!E37/(173.333333333333))*NETWORKDAYS('Brute allocat°'!G37,'Brute allocat°'!F37)*(-8),IF(AND('Brute allocat°'!D37=Base!$C$5,'Brute allocat°'!B37=Base!$A$4,'Brute allocat°'!C37=Base!$B$5),'Brute allocat°'!E37*(-1),IF(AND('Brute allocat°'!D37=Base!$C$5,'Brute allocat°'!C37=Base!$B$4),'Brute allocat°'!E37*(-3),0))))))</f>
        <v>0</v>
      </c>
      <c r="M35" s="13"/>
      <c r="N35" s="13" t="e">
        <f>+'Brute allocat°'!P37-'Nette allocat°'!J35-'Nette allocat°'!K35+L35+M35</f>
        <v>#N/A</v>
      </c>
      <c r="O35" s="13" t="e">
        <f>+'Brute allocat°'!P37*17.4%</f>
        <v>#N/A</v>
      </c>
      <c r="P35" s="13" t="e">
        <f>+'Brute allocat°'!P37*4%</f>
        <v>#N/A</v>
      </c>
      <c r="Q35" s="13" t="e">
        <f>+'Brute allocat°'!P37+'Nette allocat°'!O35+'Nette allocat°'!P35</f>
        <v>#N/A</v>
      </c>
      <c r="R35" s="4"/>
      <c r="S35" s="5"/>
      <c r="T35" s="5"/>
      <c r="U35" s="5"/>
      <c r="V35" s="9"/>
    </row>
    <row r="36" spans="1:22" x14ac:dyDescent="0.3">
      <c r="A36" s="15">
        <f>+'Brute allocat°'!A38</f>
        <v>0</v>
      </c>
      <c r="B36" s="13" t="e">
        <f>+VLOOKUP(A36,'Salaire moyen'!$B$5:$O$43,14,FALSE)</f>
        <v>#N/A</v>
      </c>
      <c r="C36" s="13"/>
      <c r="D36" s="16"/>
      <c r="E36" s="13" t="e">
        <f t="shared" si="0"/>
        <v>#N/A</v>
      </c>
      <c r="F36" s="13" t="e">
        <f>+E36/VLOOKUP(A36,'Salaire moyen'!$B$5:$Q$43,16,FALSE)</f>
        <v>#N/A</v>
      </c>
      <c r="G36" s="17" t="e">
        <f t="shared" si="1"/>
        <v>#N/A</v>
      </c>
      <c r="H36" s="13"/>
      <c r="I36" s="13" t="e">
        <f>+'Brute allocat°'!P38</f>
        <v>#N/A</v>
      </c>
      <c r="J36" s="13" t="e">
        <f t="shared" si="6"/>
        <v>#N/A</v>
      </c>
      <c r="K36" s="13" t="e">
        <f>+'Brute allocat°'!P38*3.6%</f>
        <v>#N/A</v>
      </c>
      <c r="L36" s="13">
        <f>+IF(AND('Brute allocat°'!D38=Base!$C$3,'Brute allocat°'!B38=Base!$A$3),('Brute allocat°'!E38/(173.333333333333))*(NETWORKDAYS('Brute allocat°'!G38,'Brute allocat°'!F38)*8),IF(AND('Brute allocat°'!D38=Base!$C$3,'Brute allocat°'!B38=Base!$A$4,'Brute allocat°'!C38=Base!$B$5),'Brute allocat°'!E38,IF(AND('Brute allocat°'!D38=Base!$C$3,'Brute allocat°'!B38=Base!$A$4,'Brute allocat°'!C38=Base!$B$4),'Brute allocat°'!E38*3,IF(AND('Brute allocat°'!D38=Base!$C$5,'Brute allocat°'!B38=Base!$A$3),('Brute allocat°'!E38/(173.333333333333))*NETWORKDAYS('Brute allocat°'!G38,'Brute allocat°'!F38)*(-8),IF(AND('Brute allocat°'!D38=Base!$C$5,'Brute allocat°'!B38=Base!$A$4,'Brute allocat°'!C38=Base!$B$5),'Brute allocat°'!E38*(-1),IF(AND('Brute allocat°'!D38=Base!$C$5,'Brute allocat°'!C38=Base!$B$4),'Brute allocat°'!E38*(-3),0))))))</f>
        <v>0</v>
      </c>
      <c r="M36" s="13"/>
      <c r="N36" s="13" t="e">
        <f>+'Brute allocat°'!P38-'Nette allocat°'!J36-'Nette allocat°'!K36+L36+M36</f>
        <v>#N/A</v>
      </c>
      <c r="O36" s="13" t="e">
        <f>+'Brute allocat°'!P38*17.4%</f>
        <v>#N/A</v>
      </c>
      <c r="P36" s="13" t="e">
        <f>+'Brute allocat°'!P38*4%</f>
        <v>#N/A</v>
      </c>
      <c r="Q36" s="13" t="e">
        <f>+'Brute allocat°'!P38+'Nette allocat°'!O36+'Nette allocat°'!P36</f>
        <v>#N/A</v>
      </c>
      <c r="R36" s="4"/>
      <c r="S36" s="5"/>
      <c r="T36" s="5"/>
      <c r="U36" s="5"/>
      <c r="V36" s="9"/>
    </row>
    <row r="37" spans="1:22" x14ac:dyDescent="0.3">
      <c r="A37" s="15">
        <f>+'Brute allocat°'!A39</f>
        <v>0</v>
      </c>
      <c r="B37" s="13" t="e">
        <f>+VLOOKUP(A37,'Salaire moyen'!$B$5:$O$43,14,FALSE)</f>
        <v>#N/A</v>
      </c>
      <c r="C37" s="13"/>
      <c r="D37" s="16"/>
      <c r="E37" s="13" t="e">
        <f t="shared" si="0"/>
        <v>#N/A</v>
      </c>
      <c r="F37" s="13" t="e">
        <f>+E37/VLOOKUP(A37,'Salaire moyen'!$B$5:$Q$43,16,FALSE)</f>
        <v>#N/A</v>
      </c>
      <c r="G37" s="17" t="e">
        <f t="shared" si="1"/>
        <v>#N/A</v>
      </c>
      <c r="H37" s="13"/>
      <c r="I37" s="13" t="e">
        <f>+'Brute allocat°'!P39</f>
        <v>#N/A</v>
      </c>
      <c r="J37" s="13" t="e">
        <f t="shared" si="6"/>
        <v>#N/A</v>
      </c>
      <c r="K37" s="13" t="e">
        <f>+'Brute allocat°'!P39*3.6%</f>
        <v>#N/A</v>
      </c>
      <c r="L37" s="13">
        <f>+IF(AND('Brute allocat°'!D39=Base!$C$3,'Brute allocat°'!B39=Base!$A$3),('Brute allocat°'!E39/(173.333333333333))*(NETWORKDAYS('Brute allocat°'!G39,'Brute allocat°'!F39)*8),IF(AND('Brute allocat°'!D39=Base!$C$3,'Brute allocat°'!B39=Base!$A$4,'Brute allocat°'!C39=Base!$B$5),'Brute allocat°'!E39,IF(AND('Brute allocat°'!D39=Base!$C$3,'Brute allocat°'!B39=Base!$A$4,'Brute allocat°'!C39=Base!$B$4),'Brute allocat°'!E39*3,IF(AND('Brute allocat°'!D39=Base!$C$5,'Brute allocat°'!B39=Base!$A$3),('Brute allocat°'!E39/(173.333333333333))*NETWORKDAYS('Brute allocat°'!G39,'Brute allocat°'!F39)*(-8),IF(AND('Brute allocat°'!D39=Base!$C$5,'Brute allocat°'!B39=Base!$A$4,'Brute allocat°'!C39=Base!$B$5),'Brute allocat°'!E39*(-1),IF(AND('Brute allocat°'!D39=Base!$C$5,'Brute allocat°'!C39=Base!$B$4),'Brute allocat°'!E39*(-3),0))))))</f>
        <v>0</v>
      </c>
      <c r="M37" s="13"/>
      <c r="N37" s="13" t="e">
        <f>+'Brute allocat°'!P39-'Nette allocat°'!J37-'Nette allocat°'!K37+L37+M37</f>
        <v>#N/A</v>
      </c>
      <c r="O37" s="13" t="e">
        <f>+'Brute allocat°'!P39*17.4%</f>
        <v>#N/A</v>
      </c>
      <c r="P37" s="13" t="e">
        <f>+'Brute allocat°'!P39*4%</f>
        <v>#N/A</v>
      </c>
      <c r="Q37" s="13" t="e">
        <f>+'Brute allocat°'!P39+'Nette allocat°'!O37+'Nette allocat°'!P37</f>
        <v>#N/A</v>
      </c>
      <c r="R37" s="4"/>
      <c r="S37" s="5"/>
      <c r="T37" s="5"/>
      <c r="U37" s="5"/>
      <c r="V37" s="9"/>
    </row>
    <row r="38" spans="1:22" x14ac:dyDescent="0.3">
      <c r="A38" s="15">
        <f>+'Brute allocat°'!A40</f>
        <v>0</v>
      </c>
      <c r="B38" s="13" t="e">
        <f>+VLOOKUP(A38,'Salaire moyen'!$B$5:$O$43,14,FALSE)</f>
        <v>#N/A</v>
      </c>
      <c r="C38" s="13"/>
      <c r="D38" s="16"/>
      <c r="E38" s="13" t="e">
        <f t="shared" si="0"/>
        <v>#N/A</v>
      </c>
      <c r="F38" s="13" t="e">
        <f>+E38/VLOOKUP(A38,'Salaire moyen'!$B$5:$Q$43,16,FALSE)</f>
        <v>#N/A</v>
      </c>
      <c r="G38" s="17" t="e">
        <f t="shared" si="1"/>
        <v>#N/A</v>
      </c>
      <c r="H38" s="13"/>
      <c r="I38" s="13" t="e">
        <f>+'Brute allocat°'!P40</f>
        <v>#N/A</v>
      </c>
      <c r="J38" s="13" t="e">
        <f t="shared" si="6"/>
        <v>#N/A</v>
      </c>
      <c r="K38" s="13" t="e">
        <f>+'Brute allocat°'!P40*3.6%</f>
        <v>#N/A</v>
      </c>
      <c r="L38" s="13">
        <f>+IF(AND('Brute allocat°'!D40=Base!$C$3,'Brute allocat°'!B40=Base!$A$3),('Brute allocat°'!E40/(173.333333333333))*(NETWORKDAYS('Brute allocat°'!G40,'Brute allocat°'!F40)*8),IF(AND('Brute allocat°'!D40=Base!$C$3,'Brute allocat°'!B40=Base!$A$4,'Brute allocat°'!C40=Base!$B$5),'Brute allocat°'!E40,IF(AND('Brute allocat°'!D40=Base!$C$3,'Brute allocat°'!B40=Base!$A$4,'Brute allocat°'!C40=Base!$B$4),'Brute allocat°'!E40*3,IF(AND('Brute allocat°'!D40=Base!$C$5,'Brute allocat°'!B40=Base!$A$3),('Brute allocat°'!E40/(173.333333333333))*NETWORKDAYS('Brute allocat°'!G40,'Brute allocat°'!F40)*(-8),IF(AND('Brute allocat°'!D40=Base!$C$5,'Brute allocat°'!B40=Base!$A$4,'Brute allocat°'!C40=Base!$B$5),'Brute allocat°'!E40*(-1),IF(AND('Brute allocat°'!D40=Base!$C$5,'Brute allocat°'!C40=Base!$B$4),'Brute allocat°'!E40*(-3),0))))))</f>
        <v>0</v>
      </c>
      <c r="M38" s="13"/>
      <c r="N38" s="13" t="e">
        <f>+'Brute allocat°'!P40-'Nette allocat°'!J38-'Nette allocat°'!K38+L38+M38</f>
        <v>#N/A</v>
      </c>
      <c r="O38" s="13" t="e">
        <f>+'Brute allocat°'!P40*17.4%</f>
        <v>#N/A</v>
      </c>
      <c r="P38" s="13" t="e">
        <f>+'Brute allocat°'!P40*4%</f>
        <v>#N/A</v>
      </c>
      <c r="Q38" s="13" t="e">
        <f>+'Brute allocat°'!P40+'Nette allocat°'!O38+'Nette allocat°'!P38</f>
        <v>#N/A</v>
      </c>
      <c r="R38" s="4"/>
      <c r="S38" s="5"/>
      <c r="T38" s="5"/>
      <c r="U38" s="5"/>
      <c r="V38" s="9"/>
    </row>
    <row r="39" spans="1:22" x14ac:dyDescent="0.3">
      <c r="A39" s="15">
        <f>+'Brute allocat°'!A41</f>
        <v>0</v>
      </c>
      <c r="B39" s="13" t="e">
        <f>+VLOOKUP(A39,'Salaire moyen'!$B$5:$O$43,14,FALSE)</f>
        <v>#N/A</v>
      </c>
      <c r="C39" s="13"/>
      <c r="D39" s="16"/>
      <c r="E39" s="13" t="e">
        <f t="shared" si="0"/>
        <v>#N/A</v>
      </c>
      <c r="F39" s="13" t="e">
        <f>+E39/VLOOKUP(A39,'Salaire moyen'!$B$5:$Q$43,16,FALSE)</f>
        <v>#N/A</v>
      </c>
      <c r="G39" s="17" t="e">
        <f t="shared" si="1"/>
        <v>#N/A</v>
      </c>
      <c r="H39" s="13"/>
      <c r="I39" s="13" t="e">
        <f>+'Brute allocat°'!P41</f>
        <v>#N/A</v>
      </c>
      <c r="J39" s="13" t="e">
        <f t="shared" si="6"/>
        <v>#N/A</v>
      </c>
      <c r="K39" s="13" t="e">
        <f>+'Brute allocat°'!P41*3.6%</f>
        <v>#N/A</v>
      </c>
      <c r="L39" s="13">
        <f>+IF(AND('Brute allocat°'!D41=Base!$C$3,'Brute allocat°'!B41=Base!$A$3),('Brute allocat°'!E41/(173.333333333333))*(NETWORKDAYS('Brute allocat°'!G41,'Brute allocat°'!F41)*8),IF(AND('Brute allocat°'!D41=Base!$C$3,'Brute allocat°'!B41=Base!$A$4,'Brute allocat°'!C41=Base!$B$5),'Brute allocat°'!E41,IF(AND('Brute allocat°'!D41=Base!$C$3,'Brute allocat°'!B41=Base!$A$4,'Brute allocat°'!C41=Base!$B$4),'Brute allocat°'!E41*3,IF(AND('Brute allocat°'!D41=Base!$C$5,'Brute allocat°'!B41=Base!$A$3),('Brute allocat°'!E41/(173.333333333333))*NETWORKDAYS('Brute allocat°'!G41,'Brute allocat°'!F41)*(-8),IF(AND('Brute allocat°'!D41=Base!$C$5,'Brute allocat°'!B41=Base!$A$4,'Brute allocat°'!C41=Base!$B$5),'Brute allocat°'!E41*(-1),IF(AND('Brute allocat°'!D41=Base!$C$5,'Brute allocat°'!C41=Base!$B$4),'Brute allocat°'!E41*(-3),0))))))</f>
        <v>0</v>
      </c>
      <c r="M39" s="13"/>
      <c r="N39" s="13" t="e">
        <f>+'Brute allocat°'!P41-'Nette allocat°'!J39-'Nette allocat°'!K39+L39+M39</f>
        <v>#N/A</v>
      </c>
      <c r="O39" s="13" t="e">
        <f>+'Brute allocat°'!P41*17.4%</f>
        <v>#N/A</v>
      </c>
      <c r="P39" s="13" t="e">
        <f>+'Brute allocat°'!P41*4%</f>
        <v>#N/A</v>
      </c>
      <c r="Q39" s="13" t="e">
        <f>+'Brute allocat°'!P41+'Nette allocat°'!O39+'Nette allocat°'!P39</f>
        <v>#N/A</v>
      </c>
      <c r="R39" s="4"/>
      <c r="S39" s="5"/>
      <c r="T39" s="5"/>
      <c r="U39" s="5"/>
      <c r="V39" s="9"/>
    </row>
    <row r="40" spans="1:22" x14ac:dyDescent="0.3">
      <c r="A40" s="15">
        <f>+'Brute allocat°'!A42</f>
        <v>0</v>
      </c>
      <c r="B40" s="13" t="e">
        <f>+VLOOKUP(A40,'Salaire moyen'!$B$5:$O$43,14,FALSE)</f>
        <v>#N/A</v>
      </c>
      <c r="C40" s="13"/>
      <c r="D40" s="16"/>
      <c r="E40" s="13" t="e">
        <f t="shared" si="0"/>
        <v>#N/A</v>
      </c>
      <c r="F40" s="13" t="e">
        <f>+E40/VLOOKUP(A40,'Salaire moyen'!$B$5:$Q$43,16,FALSE)</f>
        <v>#N/A</v>
      </c>
      <c r="G40" s="17" t="e">
        <f t="shared" si="1"/>
        <v>#N/A</v>
      </c>
      <c r="H40" s="13"/>
      <c r="I40" s="13" t="e">
        <f>+'Brute allocat°'!P42</f>
        <v>#N/A</v>
      </c>
      <c r="J40" s="13" t="e">
        <f t="shared" si="6"/>
        <v>#N/A</v>
      </c>
      <c r="K40" s="13" t="e">
        <f>+'Brute allocat°'!P42*3.6%</f>
        <v>#N/A</v>
      </c>
      <c r="L40" s="13">
        <f>+IF(AND('Brute allocat°'!D42=Base!$C$3,'Brute allocat°'!B42=Base!$A$3),('Brute allocat°'!E42/(173.333333333333))*(NETWORKDAYS('Brute allocat°'!G42,'Brute allocat°'!F42)*8),IF(AND('Brute allocat°'!D42=Base!$C$3,'Brute allocat°'!B42=Base!$A$4,'Brute allocat°'!C42=Base!$B$5),'Brute allocat°'!E42,IF(AND('Brute allocat°'!D42=Base!$C$3,'Brute allocat°'!B42=Base!$A$4,'Brute allocat°'!C42=Base!$B$4),'Brute allocat°'!E42*3,IF(AND('Brute allocat°'!D42=Base!$C$5,'Brute allocat°'!B42=Base!$A$3),('Brute allocat°'!E42/(173.333333333333))*NETWORKDAYS('Brute allocat°'!G42,'Brute allocat°'!F42)*(-8),IF(AND('Brute allocat°'!D42=Base!$C$5,'Brute allocat°'!B42=Base!$A$4,'Brute allocat°'!C42=Base!$B$5),'Brute allocat°'!E42*(-1),IF(AND('Brute allocat°'!D42=Base!$C$5,'Brute allocat°'!C42=Base!$B$4),'Brute allocat°'!E42*(-3),0))))))</f>
        <v>0</v>
      </c>
      <c r="M40" s="13"/>
      <c r="N40" s="13" t="e">
        <f>+'Brute allocat°'!P42-'Nette allocat°'!J40-'Nette allocat°'!K40+L40+M40</f>
        <v>#N/A</v>
      </c>
      <c r="O40" s="13" t="e">
        <f>+'Brute allocat°'!P42*17.4%</f>
        <v>#N/A</v>
      </c>
      <c r="P40" s="13" t="e">
        <f>+'Brute allocat°'!P42*4%</f>
        <v>#N/A</v>
      </c>
      <c r="Q40" s="13" t="e">
        <f>+'Brute allocat°'!P42+'Nette allocat°'!O40+'Nette allocat°'!P40</f>
        <v>#N/A</v>
      </c>
      <c r="R40" s="4"/>
      <c r="S40" s="5"/>
      <c r="T40" s="5"/>
      <c r="U40" s="5"/>
      <c r="V40" s="9"/>
    </row>
    <row r="41" spans="1:22" x14ac:dyDescent="0.3">
      <c r="A41" s="15">
        <f>+'Brute allocat°'!A43</f>
        <v>0</v>
      </c>
      <c r="B41" s="13" t="e">
        <f>+VLOOKUP(A41,'Salaire moyen'!$B$5:$O$43,14,FALSE)</f>
        <v>#N/A</v>
      </c>
      <c r="C41" s="13"/>
      <c r="D41" s="16"/>
      <c r="E41" s="13" t="e">
        <f t="shared" si="0"/>
        <v>#N/A</v>
      </c>
      <c r="F41" s="13" t="e">
        <f>+E41/VLOOKUP(A41,'Salaire moyen'!$B$5:$Q$43,16,FALSE)</f>
        <v>#N/A</v>
      </c>
      <c r="G41" s="17" t="e">
        <f t="shared" si="1"/>
        <v>#N/A</v>
      </c>
      <c r="H41" s="13"/>
      <c r="I41" s="13" t="e">
        <f>+'Brute allocat°'!P43</f>
        <v>#N/A</v>
      </c>
      <c r="J41" s="13" t="e">
        <f t="shared" si="6"/>
        <v>#N/A</v>
      </c>
      <c r="K41" s="13" t="e">
        <f>+'Brute allocat°'!P43*3.6%</f>
        <v>#N/A</v>
      </c>
      <c r="L41" s="13">
        <f>+IF(AND('Brute allocat°'!D43=Base!$C$3,'Brute allocat°'!B43=Base!$A$3),('Brute allocat°'!E43/(173.333333333333))*(NETWORKDAYS('Brute allocat°'!G43,'Brute allocat°'!F43)*8),IF(AND('Brute allocat°'!D43=Base!$C$3,'Brute allocat°'!B43=Base!$A$4,'Brute allocat°'!C43=Base!$B$5),'Brute allocat°'!E43,IF(AND('Brute allocat°'!D43=Base!$C$3,'Brute allocat°'!B43=Base!$A$4,'Brute allocat°'!C43=Base!$B$4),'Brute allocat°'!E43*3,IF(AND('Brute allocat°'!D43=Base!$C$5,'Brute allocat°'!B43=Base!$A$3),('Brute allocat°'!E43/(173.333333333333))*NETWORKDAYS('Brute allocat°'!G43,'Brute allocat°'!F43)*(-8),IF(AND('Brute allocat°'!D43=Base!$C$5,'Brute allocat°'!B43=Base!$A$4,'Brute allocat°'!C43=Base!$B$5),'Brute allocat°'!E43*(-1),IF(AND('Brute allocat°'!D43=Base!$C$5,'Brute allocat°'!C43=Base!$B$4),'Brute allocat°'!E43*(-3),0))))))</f>
        <v>0</v>
      </c>
      <c r="M41" s="13"/>
      <c r="N41" s="13" t="e">
        <f>+'Brute allocat°'!P43-'Nette allocat°'!J41-'Nette allocat°'!K41+L41+M41</f>
        <v>#N/A</v>
      </c>
      <c r="O41" s="13" t="e">
        <f>+'Brute allocat°'!P43*17.4%</f>
        <v>#N/A</v>
      </c>
      <c r="P41" s="13" t="e">
        <f>+'Brute allocat°'!P43*4%</f>
        <v>#N/A</v>
      </c>
      <c r="Q41" s="13" t="e">
        <f>+'Brute allocat°'!P43+'Nette allocat°'!O41+'Nette allocat°'!P41</f>
        <v>#N/A</v>
      </c>
      <c r="R41" s="4"/>
      <c r="S41" s="5"/>
      <c r="T41" s="5"/>
      <c r="U41" s="5"/>
      <c r="V41" s="9"/>
    </row>
    <row r="42" spans="1:22" x14ac:dyDescent="0.3">
      <c r="A42" s="15">
        <f>+'Brute allocat°'!A44</f>
        <v>0</v>
      </c>
      <c r="B42" s="13" t="e">
        <f>+VLOOKUP(A42,'Salaire moyen'!$B$5:$O$43,14,FALSE)</f>
        <v>#N/A</v>
      </c>
      <c r="C42" s="13"/>
      <c r="D42" s="16"/>
      <c r="E42" s="13" t="e">
        <f t="shared" si="0"/>
        <v>#N/A</v>
      </c>
      <c r="F42" s="13" t="e">
        <f>+E42/VLOOKUP(A42,'Salaire moyen'!$B$5:$Q$43,16,FALSE)</f>
        <v>#N/A</v>
      </c>
      <c r="G42" s="17" t="e">
        <f t="shared" si="1"/>
        <v>#N/A</v>
      </c>
      <c r="H42" s="13"/>
      <c r="I42" s="13" t="e">
        <f>+'Brute allocat°'!P44</f>
        <v>#N/A</v>
      </c>
      <c r="J42" s="13" t="e">
        <f t="shared" si="6"/>
        <v>#N/A</v>
      </c>
      <c r="K42" s="13" t="e">
        <f>+'Brute allocat°'!P44*3.6%</f>
        <v>#N/A</v>
      </c>
      <c r="L42" s="13">
        <f>+IF(AND('Brute allocat°'!D44=Base!$C$3,'Brute allocat°'!B44=Base!$A$3),('Brute allocat°'!E44/(173.333333333333))*(NETWORKDAYS('Brute allocat°'!G44,'Brute allocat°'!F44)*8),IF(AND('Brute allocat°'!D44=Base!$C$3,'Brute allocat°'!B44=Base!$A$4,'Brute allocat°'!C44=Base!$B$5),'Brute allocat°'!E44,IF(AND('Brute allocat°'!D44=Base!$C$3,'Brute allocat°'!B44=Base!$A$4,'Brute allocat°'!C44=Base!$B$4),'Brute allocat°'!E44*3,IF(AND('Brute allocat°'!D44=Base!$C$5,'Brute allocat°'!B44=Base!$A$3),('Brute allocat°'!E44/(173.333333333333))*NETWORKDAYS('Brute allocat°'!G44,'Brute allocat°'!F44)*(-8),IF(AND('Brute allocat°'!D44=Base!$C$5,'Brute allocat°'!B44=Base!$A$4,'Brute allocat°'!C44=Base!$B$5),'Brute allocat°'!E44*(-1),IF(AND('Brute allocat°'!D44=Base!$C$5,'Brute allocat°'!C44=Base!$B$4),'Brute allocat°'!E44*(-3),0))))))</f>
        <v>0</v>
      </c>
      <c r="M42" s="13"/>
      <c r="N42" s="13" t="e">
        <f>+'Brute allocat°'!P44-'Nette allocat°'!J42-'Nette allocat°'!K42+L42+M42</f>
        <v>#N/A</v>
      </c>
      <c r="O42" s="13" t="e">
        <f>+'Brute allocat°'!P44*17.4%</f>
        <v>#N/A</v>
      </c>
      <c r="P42" s="13" t="e">
        <f>+'Brute allocat°'!P44*4%</f>
        <v>#N/A</v>
      </c>
      <c r="Q42" s="13" t="e">
        <f>+'Brute allocat°'!P44+'Nette allocat°'!O42+'Nette allocat°'!P42</f>
        <v>#N/A</v>
      </c>
      <c r="R42" s="4"/>
      <c r="S42" s="5"/>
      <c r="T42" s="5"/>
      <c r="U42" s="5"/>
      <c r="V42" s="9"/>
    </row>
    <row r="43" spans="1:22" x14ac:dyDescent="0.3">
      <c r="A43" s="15">
        <f>+'Brute allocat°'!A45</f>
        <v>0</v>
      </c>
      <c r="B43" s="13" t="e">
        <f>+VLOOKUP(A43,'Salaire moyen'!$B$5:$O$43,14,FALSE)</f>
        <v>#N/A</v>
      </c>
      <c r="C43" s="13"/>
      <c r="D43" s="12"/>
      <c r="E43" s="13" t="e">
        <f t="shared" si="0"/>
        <v>#N/A</v>
      </c>
      <c r="F43" s="13" t="e">
        <f>+E43/VLOOKUP(A43,'Salaire moyen'!$B$5:$Q$43,16,FALSE)</f>
        <v>#N/A</v>
      </c>
      <c r="G43" s="17" t="e">
        <f t="shared" si="1"/>
        <v>#N/A</v>
      </c>
      <c r="I43" s="13" t="e">
        <f>+'Brute allocat°'!P45</f>
        <v>#N/A</v>
      </c>
      <c r="J43" s="13" t="e">
        <f t="shared" si="6"/>
        <v>#N/A</v>
      </c>
      <c r="K43" s="13" t="e">
        <f>+'Brute allocat°'!P45*3.6%</f>
        <v>#N/A</v>
      </c>
      <c r="L43" s="13">
        <f>+IF(AND('Brute allocat°'!D45=Base!$C$3,'Brute allocat°'!B45=Base!$A$3),('Brute allocat°'!E45/(173.333333333333))*(NETWORKDAYS('Brute allocat°'!G45,'Brute allocat°'!F45)*8),IF(AND('Brute allocat°'!D45=Base!$C$3,'Brute allocat°'!B45=Base!$A$4,'Brute allocat°'!C45=Base!$B$5),'Brute allocat°'!E45,IF(AND('Brute allocat°'!D45=Base!$C$3,'Brute allocat°'!B45=Base!$A$4,'Brute allocat°'!C45=Base!$B$4),'Brute allocat°'!E45*3,IF(AND('Brute allocat°'!D45=Base!$C$5,'Brute allocat°'!B45=Base!$A$3),('Brute allocat°'!E45/(173.333333333333))*NETWORKDAYS('Brute allocat°'!G45,'Brute allocat°'!F45)*(-8),IF(AND('Brute allocat°'!D45=Base!$C$5,'Brute allocat°'!B45=Base!$A$4,'Brute allocat°'!C45=Base!$B$5),'Brute allocat°'!E45*(-1),IF(AND('Brute allocat°'!D45=Base!$C$5,'Brute allocat°'!C45=Base!$B$4),'Brute allocat°'!E45*(-3),0))))))</f>
        <v>0</v>
      </c>
      <c r="M43" s="13"/>
      <c r="N43" s="13" t="e">
        <f>+'Brute allocat°'!P45-'Nette allocat°'!J43-'Nette allocat°'!K43+L43+M43</f>
        <v>#N/A</v>
      </c>
      <c r="O43" s="13" t="e">
        <f>+'Brute allocat°'!P45*17.4%</f>
        <v>#N/A</v>
      </c>
      <c r="P43" s="13" t="e">
        <f>+'Brute allocat°'!P45*4%</f>
        <v>#N/A</v>
      </c>
      <c r="Q43" s="13" t="e">
        <f>+'Brute allocat°'!P45+'Nette allocat°'!O43+'Nette allocat°'!P43</f>
        <v>#N/A</v>
      </c>
      <c r="R43" s="4"/>
      <c r="S43" s="5"/>
      <c r="T43" s="5"/>
      <c r="U43" s="5"/>
      <c r="V43" s="9"/>
    </row>
  </sheetData>
  <mergeCells count="6">
    <mergeCell ref="B2:G2"/>
    <mergeCell ref="H2:I2"/>
    <mergeCell ref="J2:K2"/>
    <mergeCell ref="O2:P2"/>
    <mergeCell ref="R2:U2"/>
    <mergeCell ref="L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/>
  <dimension ref="B4:L51"/>
  <sheetViews>
    <sheetView tabSelected="1" zoomScale="110" zoomScaleNormal="110" workbookViewId="0">
      <selection activeCell="E11" sqref="E11"/>
    </sheetView>
  </sheetViews>
  <sheetFormatPr baseColWidth="10" defaultColWidth="11.42578125" defaultRowHeight="14.25" x14ac:dyDescent="0.2"/>
  <cols>
    <col min="1" max="1" width="5.42578125" style="27" customWidth="1"/>
    <col min="2" max="2" width="21.140625" style="27" customWidth="1"/>
    <col min="3" max="3" width="48.85546875" style="27" customWidth="1"/>
    <col min="4" max="4" width="15.85546875" style="27" customWidth="1"/>
    <col min="5" max="5" width="19" style="46" customWidth="1"/>
    <col min="6" max="6" width="11.42578125" style="27"/>
    <col min="7" max="8" width="12.28515625" style="27" bestFit="1" customWidth="1"/>
    <col min="9" max="9" width="26.28515625" style="27" customWidth="1"/>
    <col min="10" max="10" width="11.42578125" style="27"/>
    <col min="11" max="11" width="15" style="27" customWidth="1"/>
    <col min="12" max="16384" width="11.42578125" style="27"/>
  </cols>
  <sheetData>
    <row r="4" spans="2:7" ht="24.75" customHeight="1" x14ac:dyDescent="0.2"/>
    <row r="5" spans="2:7" s="47" customFormat="1" ht="24.75" customHeight="1" x14ac:dyDescent="0.25">
      <c r="B5" s="140" t="s">
        <v>92</v>
      </c>
      <c r="C5" s="140"/>
      <c r="D5" s="140"/>
      <c r="E5" s="140"/>
    </row>
    <row r="6" spans="2:7" ht="15" thickBot="1" x14ac:dyDescent="0.25"/>
    <row r="7" spans="2:7" ht="16.5" x14ac:dyDescent="0.25">
      <c r="B7" s="48" t="s">
        <v>22</v>
      </c>
      <c r="C7" s="32"/>
      <c r="D7" s="49"/>
      <c r="E7" s="50"/>
    </row>
    <row r="8" spans="2:7" x14ac:dyDescent="0.2">
      <c r="B8" s="51" t="s">
        <v>23</v>
      </c>
      <c r="C8" s="52" t="s">
        <v>103</v>
      </c>
      <c r="E8" s="53"/>
    </row>
    <row r="9" spans="2:7" x14ac:dyDescent="0.2">
      <c r="B9" s="51" t="s">
        <v>24</v>
      </c>
      <c r="C9" s="52">
        <v>0</v>
      </c>
      <c r="E9" s="53"/>
    </row>
    <row r="10" spans="2:7" x14ac:dyDescent="0.2">
      <c r="B10" s="51" t="s">
        <v>38</v>
      </c>
      <c r="C10" s="52" t="str">
        <f>+VLOOKUP(C7,'Brute allocat°'!$A$7:$B$46,2,FALSE)</f>
        <v>CDD</v>
      </c>
      <c r="E10" s="53"/>
    </row>
    <row r="11" spans="2:7" x14ac:dyDescent="0.2">
      <c r="B11" s="51" t="s">
        <v>25</v>
      </c>
      <c r="C11" s="54">
        <v>45408</v>
      </c>
      <c r="E11" s="53"/>
      <c r="F11" s="55"/>
      <c r="G11" s="121"/>
    </row>
    <row r="12" spans="2:7" x14ac:dyDescent="0.2">
      <c r="B12" s="51" t="s">
        <v>26</v>
      </c>
      <c r="C12" s="54">
        <f>VLOOKUP(C7,'Brute allocat°'!$A$7:$N$46,7,FALSE)</f>
        <v>45858</v>
      </c>
      <c r="E12" s="53"/>
      <c r="G12" s="121"/>
    </row>
    <row r="13" spans="2:7" x14ac:dyDescent="0.2">
      <c r="B13" s="51" t="s">
        <v>27</v>
      </c>
      <c r="C13" s="54" t="str">
        <f>DATEDIF(C11,C12,"y") &amp; " Ans " &amp;DATEDIF(C11,C12,"ym") &amp; " Mois " &amp;DATEDIF(C11,C12,"md") &amp; " Jours "</f>
        <v xml:space="preserve">1 Ans 2 Mois 24 Jours </v>
      </c>
      <c r="E13" s="53"/>
    </row>
    <row r="14" spans="2:7" ht="31.5" customHeight="1" thickBot="1" x14ac:dyDescent="0.25">
      <c r="B14" s="112" t="s">
        <v>28</v>
      </c>
      <c r="C14" s="56" t="e">
        <f>+VLOOKUP(C7,'Salaire moyen'!$B$5:$P$43,15,FALSE)</f>
        <v>#N/A</v>
      </c>
      <c r="E14" s="53"/>
    </row>
    <row r="15" spans="2:7" x14ac:dyDescent="0.2">
      <c r="B15" s="57"/>
      <c r="C15" s="58"/>
      <c r="E15" s="53"/>
    </row>
    <row r="16" spans="2:7" x14ac:dyDescent="0.2">
      <c r="B16" s="59"/>
      <c r="C16" s="60" t="s">
        <v>29</v>
      </c>
      <c r="D16" s="60"/>
      <c r="E16" s="61" t="s">
        <v>30</v>
      </c>
    </row>
    <row r="17" spans="2:12" ht="6" customHeight="1" x14ac:dyDescent="0.2">
      <c r="B17" s="59"/>
      <c r="C17" s="60"/>
      <c r="D17" s="60"/>
      <c r="E17" s="61"/>
    </row>
    <row r="18" spans="2:12" x14ac:dyDescent="0.2">
      <c r="B18" s="62" t="s">
        <v>39</v>
      </c>
      <c r="C18" s="110" t="s">
        <v>40</v>
      </c>
      <c r="E18" s="61"/>
      <c r="L18" s="46"/>
    </row>
    <row r="19" spans="2:12" ht="17.25" customHeight="1" x14ac:dyDescent="0.2">
      <c r="B19" s="59"/>
      <c r="C19" s="109" t="s">
        <v>80</v>
      </c>
      <c r="D19" s="63">
        <f>+C12</f>
        <v>45858</v>
      </c>
      <c r="E19" s="64">
        <f>+VLOOKUP(C7,'Brute allocat°'!$A$7:$L$46,12,FALSE)</f>
        <v>29</v>
      </c>
      <c r="L19" s="46"/>
    </row>
    <row r="20" spans="2:12" ht="6" customHeight="1" x14ac:dyDescent="0.2">
      <c r="B20" s="59"/>
      <c r="C20" s="65"/>
      <c r="D20" s="60"/>
      <c r="E20" s="53"/>
      <c r="L20" s="46"/>
    </row>
    <row r="21" spans="2:12" x14ac:dyDescent="0.2">
      <c r="B21" s="59"/>
      <c r="C21" s="66" t="s">
        <v>91</v>
      </c>
      <c r="D21" s="60"/>
      <c r="E21" s="67" t="e">
        <f>+VLOOKUP(C7,'Brute allocat°'!$A$7:$P$46,16,FALSE)</f>
        <v>#N/A</v>
      </c>
      <c r="H21" s="141"/>
      <c r="I21" s="141"/>
      <c r="J21" s="141"/>
      <c r="K21" s="141"/>
      <c r="L21" s="141"/>
    </row>
    <row r="22" spans="2:12" ht="6" customHeight="1" x14ac:dyDescent="0.2">
      <c r="B22" s="59"/>
      <c r="C22" s="65"/>
      <c r="D22" s="60"/>
      <c r="E22" s="67"/>
      <c r="H22" s="68"/>
      <c r="I22" s="68"/>
      <c r="J22" s="68"/>
      <c r="K22" s="68"/>
      <c r="L22" s="68"/>
    </row>
    <row r="23" spans="2:12" x14ac:dyDescent="0.2">
      <c r="B23" s="62" t="s">
        <v>41</v>
      </c>
      <c r="C23" s="66" t="s">
        <v>93</v>
      </c>
      <c r="D23" s="60"/>
      <c r="E23" s="53"/>
      <c r="H23" s="68"/>
      <c r="I23" s="68"/>
      <c r="J23" s="68"/>
      <c r="K23" s="68"/>
      <c r="L23" s="68"/>
    </row>
    <row r="24" spans="2:12" ht="6" customHeight="1" x14ac:dyDescent="0.2">
      <c r="B24" s="59"/>
      <c r="C24" s="69"/>
      <c r="D24" s="60"/>
      <c r="E24" s="53"/>
      <c r="H24" s="68"/>
      <c r="I24" s="68"/>
      <c r="J24" s="68"/>
      <c r="K24" s="68"/>
      <c r="L24" s="68"/>
    </row>
    <row r="25" spans="2:12" x14ac:dyDescent="0.2">
      <c r="B25" s="59"/>
      <c r="C25" s="65" t="s">
        <v>31</v>
      </c>
      <c r="D25" s="60"/>
      <c r="E25" s="111" t="e">
        <f>+VLOOKUP(C7,'Nette allocat°'!A4:K43,11,FALSE)</f>
        <v>#N/A</v>
      </c>
      <c r="H25" s="68"/>
      <c r="I25" s="68"/>
      <c r="J25" s="68"/>
      <c r="K25" s="68"/>
      <c r="L25" s="68"/>
    </row>
    <row r="26" spans="2:12" x14ac:dyDescent="0.2">
      <c r="B26" s="59"/>
      <c r="C26" s="65" t="s">
        <v>32</v>
      </c>
      <c r="D26" s="60"/>
      <c r="E26" s="70" t="e">
        <f>+VLOOKUP(C7,'Nette allocat°'!A4:K43,10,FALSE)</f>
        <v>#N/A</v>
      </c>
      <c r="H26" s="68"/>
      <c r="I26" s="68"/>
      <c r="J26" s="68"/>
      <c r="K26" s="68"/>
      <c r="L26" s="68"/>
    </row>
    <row r="27" spans="2:12" x14ac:dyDescent="0.2">
      <c r="B27" s="59"/>
      <c r="C27" s="66" t="s">
        <v>33</v>
      </c>
      <c r="D27" s="60"/>
      <c r="E27" s="53" t="e">
        <f>+E25+E26</f>
        <v>#N/A</v>
      </c>
      <c r="H27" s="68"/>
      <c r="I27" s="68"/>
      <c r="J27" s="68"/>
      <c r="K27" s="68"/>
      <c r="L27" s="68"/>
    </row>
    <row r="28" spans="2:12" ht="6" customHeight="1" x14ac:dyDescent="0.2">
      <c r="B28" s="59"/>
      <c r="C28" s="65"/>
      <c r="D28" s="60"/>
      <c r="E28" s="53"/>
      <c r="H28" s="68"/>
      <c r="I28" s="68"/>
      <c r="J28" s="68"/>
      <c r="K28" s="68"/>
      <c r="L28" s="68"/>
    </row>
    <row r="29" spans="2:12" x14ac:dyDescent="0.2">
      <c r="B29" s="146" t="s">
        <v>42</v>
      </c>
      <c r="C29" s="144" t="str">
        <f>+IF(C10=Base!$A$3,"Côut des dommages et intérêts à payer pour rupture du contrat sans accord partie sur la période restante à courrir de",IF(C10=Base!$A$4,"Coût des dommages et intérêts à payer pour non respect de préavis de"," "))</f>
        <v>Côut des dommages et intérêts à payer pour rupture du contrat sans accord partie sur la période restante à courrir de</v>
      </c>
      <c r="D29" s="143" t="str">
        <f>+IF(C10=Base!$A$3,VLOOKUP('Récap SDTCP'!C7,'Brute allocat°'!$A$7:$M$46,13,FALSE),IF(AND('Récap SDTCP'!C10=Base!$A$4,VLOOKUP('Récap SDTCP'!C7,'Brute allocat°'!$A$7:$C$46,3,FALSE)=Base!$B$5),"1 mois",IF(AND('Récap SDTCP'!C10=Base!$A$4,VLOOKUP('Récap SDTCP'!C7,'Brute allocat°'!$A$7:$C$46,3,FALSE)=Base!$B$4),"3 mois")))</f>
        <v xml:space="preserve">1 mois 5 jours </v>
      </c>
      <c r="E29" s="145">
        <f>+VLOOKUP(C7,'Nette allocat°'!A4:L43,12,FALSE)</f>
        <v>-203962.8000000004</v>
      </c>
      <c r="H29" s="68"/>
      <c r="I29" s="68"/>
      <c r="J29" s="68"/>
      <c r="K29" s="68"/>
      <c r="L29" s="68"/>
    </row>
    <row r="30" spans="2:12" ht="35.25" customHeight="1" x14ac:dyDescent="0.2">
      <c r="B30" s="146"/>
      <c r="C30" s="144"/>
      <c r="D30" s="143"/>
      <c r="E30" s="145"/>
      <c r="H30" s="68"/>
      <c r="I30" s="68"/>
      <c r="J30" s="68"/>
      <c r="K30" s="68"/>
      <c r="L30" s="68"/>
    </row>
    <row r="31" spans="2:12" ht="6" customHeight="1" x14ac:dyDescent="0.2">
      <c r="B31" s="59"/>
      <c r="C31" s="65"/>
      <c r="D31" s="60"/>
      <c r="E31" s="67"/>
      <c r="H31" s="68"/>
      <c r="I31" s="68"/>
      <c r="J31" s="68"/>
      <c r="K31" s="68"/>
      <c r="L31" s="68"/>
    </row>
    <row r="32" spans="2:12" x14ac:dyDescent="0.2">
      <c r="B32" s="62" t="s">
        <v>94</v>
      </c>
      <c r="C32" s="116" t="s">
        <v>43</v>
      </c>
      <c r="D32" s="60"/>
      <c r="E32" s="67">
        <f>+VLOOKUP(C7,'Nette allocat°'!$A$4:$M$43,13,FALSE)</f>
        <v>0</v>
      </c>
      <c r="H32" s="68"/>
      <c r="I32" s="68"/>
      <c r="J32" s="68"/>
      <c r="K32" s="68"/>
      <c r="L32" s="68"/>
    </row>
    <row r="33" spans="2:12" ht="6" customHeight="1" x14ac:dyDescent="0.2">
      <c r="B33" s="59"/>
      <c r="C33" s="65"/>
      <c r="D33" s="60"/>
      <c r="E33" s="67"/>
      <c r="H33" s="68"/>
      <c r="I33" s="68"/>
      <c r="J33" s="68"/>
      <c r="K33" s="68"/>
      <c r="L33" s="68"/>
    </row>
    <row r="34" spans="2:12" ht="28.5" customHeight="1" x14ac:dyDescent="0.2">
      <c r="B34" s="115" t="str">
        <f>+IF(C10=Base!$A$3," ",IF(C10=Base!$A$4,"V-"))</f>
        <v xml:space="preserve"> </v>
      </c>
      <c r="C34" s="114" t="str">
        <f>+IF(C10=Base!$A$4,"Rémunération des deux (02) jours de liberté de recherche d'emploi par semaine",IF('Récap SDTCP'!C10=Base!$A$3," "))</f>
        <v xml:space="preserve"> </v>
      </c>
      <c r="D34" s="147" t="str">
        <f>+IF(C10=Base!$A$3," ",IF(AND(C10=Base!$A$4,VLOOKUP('Récap SDTCP'!C7,'Brute allocat°'!$A$7:$C$46,3,FALSE)=Base!$B$5),(VLOOKUP(C7,'Brute allocat°'!$A$7:$E$46,5,FALSE)/(2080/12))*8*8,IF(AND(C10,Base!$A$4,VLOOKUP(C7,'Brute allocat°'!$A$7:$C$46,3,FALSE)=Base!$B$4),(VLOOKUP(C7,'Brute allocat°'!$A$7:$E$46,5,FALSE)/(2080/12))*24*8)))</f>
        <v xml:space="preserve"> </v>
      </c>
      <c r="E34" s="148"/>
      <c r="H34" s="68"/>
      <c r="I34" s="68"/>
      <c r="J34" s="68"/>
      <c r="K34" s="68"/>
      <c r="L34" s="68"/>
    </row>
    <row r="35" spans="2:12" ht="9.9499999999999993" customHeight="1" x14ac:dyDescent="0.2">
      <c r="B35" s="59"/>
      <c r="C35" s="65"/>
      <c r="D35" s="60"/>
      <c r="E35" s="67"/>
      <c r="H35" s="68"/>
      <c r="I35" s="68"/>
      <c r="J35" s="68"/>
      <c r="K35" s="68"/>
      <c r="L35" s="68"/>
    </row>
    <row r="36" spans="2:12" ht="32.25" customHeight="1" x14ac:dyDescent="0.2">
      <c r="B36" s="115" t="str">
        <f>+IF(C10=Base!$A$3," ",IF(C10=Base!$A$4,"VI-"))</f>
        <v xml:space="preserve"> </v>
      </c>
      <c r="C36" s="114" t="str">
        <f>+IF(C10=Base!$A$4,"Rémunération calculée sur la période observée de préavis de",IF('Récap SDTCP'!C10=Base!$A$3," "))</f>
        <v xml:space="preserve"> </v>
      </c>
      <c r="D36" s="117" t="str">
        <f>+IF(C10=Base!$A$4,NETWORKDAYS(VLOOKUP(C7,'Brute allocat°'!$A$7:$I$46,8,FALSE),VLOOKUP(C7,'Brute allocat°'!$A$7:$I$46,9,FALSE)) &amp; " jours ouvrés ",IF(C10=Base!$A$3," "))</f>
        <v xml:space="preserve"> </v>
      </c>
      <c r="E36" s="118">
        <f>+IF(C10=Base!$A$4,(VLOOKUP(C7,'Brute allocat°'!$A$7:$E$46,5,FALSE))/(173.333333333333)*(VLOOKUP(C7,'Brute allocat°'!$A$7:$N$46,14,FALSE)*8),0)</f>
        <v>0</v>
      </c>
      <c r="H36" s="68"/>
      <c r="I36" s="68"/>
      <c r="J36" s="68"/>
      <c r="K36" s="68"/>
      <c r="L36" s="68"/>
    </row>
    <row r="37" spans="2:12" ht="9.9499999999999993" customHeight="1" x14ac:dyDescent="0.2">
      <c r="B37" s="59"/>
      <c r="C37" s="65"/>
      <c r="D37" s="60"/>
      <c r="E37" s="67"/>
      <c r="H37" s="68"/>
      <c r="I37" s="68"/>
      <c r="J37" s="68"/>
      <c r="K37" s="68"/>
      <c r="L37" s="68"/>
    </row>
    <row r="38" spans="2:12" x14ac:dyDescent="0.2">
      <c r="B38" s="62" t="str">
        <f>+IF(C10=Base!$A$4,"VII",IF(C10=Base!$A$3,"V"))</f>
        <v>V</v>
      </c>
      <c r="C38" s="116" t="s">
        <v>96</v>
      </c>
      <c r="D38" s="60"/>
      <c r="E38" s="53" t="e">
        <f>+IFERROR(E21-E27+E29+E32+D34+E36,E21-E27+E29)</f>
        <v>#N/A</v>
      </c>
      <c r="F38" s="71"/>
      <c r="H38" s="68"/>
      <c r="I38" s="68"/>
      <c r="J38" s="68"/>
      <c r="K38" s="68"/>
      <c r="L38" s="68"/>
    </row>
    <row r="39" spans="2:12" ht="15" thickBot="1" x14ac:dyDescent="0.25">
      <c r="B39" s="72"/>
      <c r="C39" s="73"/>
      <c r="D39" s="73"/>
      <c r="E39" s="74"/>
      <c r="H39" s="75"/>
      <c r="I39" s="58"/>
      <c r="L39" s="46"/>
    </row>
    <row r="40" spans="2:12" s="76" customFormat="1" ht="18" x14ac:dyDescent="0.25">
      <c r="B40" s="77" t="s">
        <v>47</v>
      </c>
      <c r="C40" s="78"/>
      <c r="D40" s="79"/>
      <c r="E40" s="123" t="e">
        <f>E38</f>
        <v>#N/A</v>
      </c>
      <c r="F40" s="80"/>
      <c r="H40" s="27"/>
      <c r="I40" s="81"/>
      <c r="J40" s="27"/>
      <c r="K40" s="27"/>
      <c r="L40" s="82"/>
    </row>
    <row r="41" spans="2:12" s="76" customFormat="1" ht="18" x14ac:dyDescent="0.25">
      <c r="B41" s="83"/>
      <c r="C41" s="83"/>
      <c r="D41" s="84"/>
      <c r="E41" s="84"/>
      <c r="F41" s="80"/>
      <c r="H41" s="27"/>
      <c r="I41" s="81"/>
      <c r="J41" s="27"/>
      <c r="K41" s="27"/>
      <c r="L41" s="82"/>
    </row>
    <row r="42" spans="2:12" ht="32.25" customHeight="1" x14ac:dyDescent="0.2">
      <c r="B42" s="142" t="s">
        <v>111</v>
      </c>
      <c r="C42" s="142"/>
      <c r="D42" s="142"/>
      <c r="E42" s="142"/>
      <c r="F42" s="85"/>
      <c r="L42" s="82"/>
    </row>
    <row r="43" spans="2:12" ht="15" customHeight="1" x14ac:dyDescent="0.3">
      <c r="B43" s="60"/>
      <c r="C43" s="86"/>
      <c r="F43" s="87"/>
      <c r="G43" s="87"/>
      <c r="I43" s="88"/>
      <c r="L43" s="82"/>
    </row>
    <row r="44" spans="2:12" ht="15" thickBot="1" x14ac:dyDescent="0.25">
      <c r="E44" s="73"/>
      <c r="H44" s="89"/>
      <c r="I44" s="90"/>
      <c r="J44" s="91"/>
      <c r="K44" s="91"/>
      <c r="L44" s="46"/>
    </row>
    <row r="45" spans="2:12" ht="18" x14ac:dyDescent="0.25">
      <c r="B45" s="92" t="s">
        <v>99</v>
      </c>
      <c r="C45" s="93" t="s">
        <v>100</v>
      </c>
      <c r="D45" s="92" t="s">
        <v>109</v>
      </c>
      <c r="E45" s="92" t="s">
        <v>34</v>
      </c>
      <c r="H45" s="94"/>
      <c r="I45" s="95"/>
      <c r="J45" s="96"/>
      <c r="K45" s="96"/>
      <c r="L45" s="97"/>
    </row>
    <row r="46" spans="2:12" x14ac:dyDescent="0.2">
      <c r="B46" s="98" t="s">
        <v>104</v>
      </c>
      <c r="C46" s="99" t="s">
        <v>101</v>
      </c>
      <c r="D46" s="100" t="s">
        <v>102</v>
      </c>
      <c r="E46" s="100" t="s">
        <v>105</v>
      </c>
      <c r="H46" s="60"/>
      <c r="I46" s="60"/>
      <c r="L46" s="46"/>
    </row>
    <row r="47" spans="2:12" x14ac:dyDescent="0.2">
      <c r="B47" s="101" t="s">
        <v>98</v>
      </c>
      <c r="C47" s="100" t="s">
        <v>106</v>
      </c>
      <c r="D47" s="100" t="s">
        <v>107</v>
      </c>
      <c r="E47" s="100" t="s">
        <v>108</v>
      </c>
      <c r="H47" s="60"/>
      <c r="I47" s="60"/>
      <c r="J47" s="60"/>
      <c r="K47" s="60"/>
      <c r="L47" s="46"/>
    </row>
    <row r="48" spans="2:12" ht="20.25" x14ac:dyDescent="0.3">
      <c r="B48" s="102"/>
      <c r="E48" s="102"/>
      <c r="H48" s="60"/>
      <c r="I48" s="86"/>
      <c r="L48" s="46"/>
    </row>
    <row r="49" spans="2:12" ht="15.75" x14ac:dyDescent="0.25">
      <c r="E49" s="102"/>
      <c r="H49" s="103"/>
      <c r="I49" s="104"/>
      <c r="L49" s="105"/>
    </row>
    <row r="50" spans="2:12" ht="15.75" x14ac:dyDescent="0.25">
      <c r="B50" s="106"/>
      <c r="C50" s="107"/>
      <c r="D50" s="107"/>
      <c r="E50" s="107"/>
      <c r="J50" s="71"/>
      <c r="K50" s="71"/>
      <c r="L50" s="46"/>
    </row>
    <row r="51" spans="2:12" ht="15.75" x14ac:dyDescent="0.25">
      <c r="B51" s="108"/>
      <c r="C51" s="99"/>
      <c r="D51" s="99" t="s">
        <v>35</v>
      </c>
      <c r="E51" s="99">
        <f>+C7</f>
        <v>0</v>
      </c>
      <c r="F51" s="99"/>
      <c r="L51" s="46"/>
    </row>
  </sheetData>
  <mergeCells count="8">
    <mergeCell ref="B5:E5"/>
    <mergeCell ref="H21:L21"/>
    <mergeCell ref="B42:E42"/>
    <mergeCell ref="D29:D30"/>
    <mergeCell ref="C29:C30"/>
    <mergeCell ref="E29:E30"/>
    <mergeCell ref="B29:B30"/>
    <mergeCell ref="D34:E34"/>
  </mergeCells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&amp;L&amp;G</oddHeader>
    <oddFooter>&amp;L&amp;G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/>
  <dimension ref="A2:C6"/>
  <sheetViews>
    <sheetView workbookViewId="0">
      <selection activeCell="C14" sqref="C14"/>
    </sheetView>
  </sheetViews>
  <sheetFormatPr baseColWidth="10" defaultRowHeight="16.5" x14ac:dyDescent="0.25"/>
  <cols>
    <col min="1" max="1" width="24.5703125" style="28" customWidth="1"/>
    <col min="2" max="2" width="47.7109375" style="28" customWidth="1"/>
    <col min="3" max="3" width="44" style="28" customWidth="1"/>
    <col min="4" max="16384" width="11.42578125" style="28"/>
  </cols>
  <sheetData>
    <row r="2" spans="1:3" x14ac:dyDescent="0.25">
      <c r="A2" s="29" t="s">
        <v>36</v>
      </c>
      <c r="B2" s="29" t="s">
        <v>46</v>
      </c>
      <c r="C2" s="29" t="s">
        <v>84</v>
      </c>
    </row>
    <row r="3" spans="1:3" x14ac:dyDescent="0.25">
      <c r="A3" s="32" t="s">
        <v>44</v>
      </c>
      <c r="B3" s="33" t="s">
        <v>62</v>
      </c>
      <c r="C3" s="42" t="s">
        <v>85</v>
      </c>
    </row>
    <row r="4" spans="1:3" x14ac:dyDescent="0.25">
      <c r="A4" s="149" t="s">
        <v>45</v>
      </c>
      <c r="B4" s="32" t="s">
        <v>59</v>
      </c>
      <c r="C4" s="42" t="s">
        <v>86</v>
      </c>
    </row>
    <row r="5" spans="1:3" x14ac:dyDescent="0.25">
      <c r="A5" s="150"/>
      <c r="B5" s="32" t="s">
        <v>58</v>
      </c>
      <c r="C5" s="42" t="s">
        <v>87</v>
      </c>
    </row>
    <row r="6" spans="1:3" x14ac:dyDescent="0.25">
      <c r="C6" s="32" t="s">
        <v>88</v>
      </c>
    </row>
  </sheetData>
  <mergeCells count="1">
    <mergeCell ref="A4:A5"/>
  </mergeCells>
  <dataValidations count="1">
    <dataValidation type="list" showInputMessage="1" showErrorMessage="1" sqref="A3 F9">
      <formula1>$A$3:$A$6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Salaire moyen</vt:lpstr>
      <vt:lpstr>Brute allocat°</vt:lpstr>
      <vt:lpstr>Nette allocat°</vt:lpstr>
      <vt:lpstr>Récap SDTCP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roussou</dc:creator>
  <cp:lastModifiedBy>AGBOTON Thola Vera</cp:lastModifiedBy>
  <cp:lastPrinted>2022-11-30T13:08:43Z</cp:lastPrinted>
  <dcterms:created xsi:type="dcterms:W3CDTF">2022-06-08T15:43:38Z</dcterms:created>
  <dcterms:modified xsi:type="dcterms:W3CDTF">2025-08-14T07:52:42Z</dcterms:modified>
</cp:coreProperties>
</file>